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_ME" sheetId="1" state="visible" r:id="rId3"/>
    <sheet name="Deck_TopDown" sheetId="2" state="visible" r:id="rId4"/>
    <sheet name="Dashboard" sheetId="3" state="visible" r:id="rId5"/>
    <sheet name="Assumptions" sheetId="4" state="visible" r:id="rId6"/>
    <sheet name="SKU_Channel_Model" sheetId="5" state="visible" r:id="rId7"/>
    <sheet name="Portfolio" sheetId="6" state="visible" r:id="rId8"/>
    <sheet name="P_and_L" sheetId="7" state="visible" r:id="rId9"/>
    <sheet name="Working_Capital" sheetId="8" state="visible" r:id="rId10"/>
    <sheet name="Cash_Flow" sheetId="9" state="visible" r:id="rId11"/>
    <sheet name="Seasonality" sheetId="10" state="visible" r:id="rId12"/>
    <sheet name="Checks" sheetId="11" state="visible" r:id="rId13"/>
    <sheet name="Distributor_Econ" sheetId="12" state="visible" r:id="rId14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<sst xmlns="http://schemas.openxmlformats.org/spreadsheetml/2006/main" count="1216" uniqueCount="440">
  <si>
    <t xml:space="preserve">RASMITRA | Commercial feasibility model</t>
  </si>
  <si>
    <t xml:space="preserve">Purpose</t>
  </si>
  <si>
    <t xml:space="preserve">FY22–FY24 bottom-up NPD diversification model. Illustrative assumptions; NOT verified consumer demand.</t>
  </si>
  <si>
    <t xml:space="preserve">Source 1</t>
  </si>
  <si>
    <t xml:space="preserve">Case brief: The Growth Gambit, exhibits 1–6; fictional FY21 financials. Uploaded by team.</t>
  </si>
  <si>
    <t xml:space="preserve">Source 2</t>
  </si>
  <si>
    <t xml:space="preserve">Team proposal: 6 products × 2 pack formats; category targets ₹135/₹75/₹60 Cr in FY24.</t>
  </si>
  <si>
    <t xml:space="preserve">Scope</t>
  </si>
  <si>
    <t xml:space="preserve">Revenue, pack/channel economics, financing, working capital, downside, quarterly concentration, target checks.</t>
  </si>
  <si>
    <t xml:space="preserve">Input rule</t>
  </si>
  <si>
    <t xml:space="preserve">BLUE numbers + pale-yellow background = editable assumptions; GREEN = links to another workbook tab; BLACK = calculated.</t>
  </si>
  <si>
    <t xml:space="preserve">Model logic</t>
  </si>
  <si>
    <t xml:space="preserve">Average PRODUCTIVE outlets × weekly unit sales × selling weeks × consumer sell-through = net packs.</t>
  </si>
  <si>
    <t xml:space="preserve">Revenue accounting</t>
  </si>
  <si>
    <t xml:space="preserve">MRP × (1 − blended channel margin) = company realisation (₹/pack). Trade spend is charged on company sales.</t>
  </si>
  <si>
    <t xml:space="preserve">Margin warning</t>
  </si>
  <si>
    <t xml:space="preserve">Channel partner margins and trade spend are distinct, and should not be added as percentages of the same base.</t>
  </si>
  <si>
    <t xml:space="preserve">Case limits</t>
  </si>
  <si>
    <t xml:space="preserve">Category market share is only a cross-check. Market size ≠ captive demand. No evidence to forecast 51% plant utilisation improvement.</t>
  </si>
  <si>
    <t xml:space="preserve">Period labels</t>
  </si>
  <si>
    <t xml:space="preserve">FY22–FY24 represent the case timeline, not current Indian market prices. Current quotes must be time-normalised.</t>
  </si>
  <si>
    <t xml:space="preserve">Scenario toggle</t>
  </si>
  <si>
    <t xml:space="preserve">Assumptions!C6 controls Base versus Downside; negative shock hits velocity, COGS, trade charges and DSO.</t>
  </si>
  <si>
    <t xml:space="preserve">Input caution</t>
  </si>
  <si>
    <t xml:space="preserve">All prices, pack COGS, velocity, outlet ramp, ROI and programme cash spend are planning assumptions unless labelled Case.</t>
  </si>
  <si>
    <t xml:space="preserve">One assumptions page</t>
  </si>
  <si>
    <t xml:space="preserve">See Assumptions tab for ALL editable numerical inputs, product/channel parameters and demand assumptions.</t>
  </si>
  <si>
    <t xml:space="preserve">Budget caution</t>
  </si>
  <si>
    <t xml:space="preserve">₹75 Cr includes a WC envelope and contingency; neither is an immediate P&amp;L expense. Trade spend is a selling cost.</t>
  </si>
  <si>
    <t xml:space="preserve">Financial comparison</t>
  </si>
  <si>
    <t xml:space="preserve">Incremental NPD cash flows are not identical to consolidated RBL cash flows; core EBITDA and overhead data for forecasts are unavailable.</t>
  </si>
  <si>
    <t xml:space="preserve">How to use</t>
  </si>
  <si>
    <t xml:space="preserve">1) Edit Assumptions; 2) inspect SKU_Channel_Model; 3) check Dashboard + Checks; 4) replace illustrative demand with interview/pilot data.</t>
  </si>
  <si>
    <t xml:space="preserve">FGD evidence</t>
  </si>
  <si>
    <t xml:space="preserve">FGD participation does not establish population-wide price sensitivity, trial conversion, category demand or repurchase rates.</t>
  </si>
  <si>
    <t xml:space="preserve">Deck_TopDown tab (added for the submission): the top-down category model that produces the deck base case (18.5% FY24 new-product share, Rs 757.3 Cr revenue). Volumes on the deck come from that tab; margins, budget and working capital from the bottom-up tabs.</t>
  </si>
  <si>
    <t xml:space="preserve">Checks tab fix: FY24 target tests previously compared the wrong header column and showed N/A; they now read FY22-FY24 correctly.</t>
  </si>
  <si>
    <t xml:space="preserve">DECK BASE CASE | Top-down category model (team category screen), the numbers used on pages 2-4 of the deck</t>
  </si>
  <si>
    <t xml:space="preserve">Blue cells are inputs. Change Scenario (B3) or Third category (B4) to see every scenario in the deck. This tab sets volumes; margins, budget and working capital come from the bottom-up tabs of this workbook.</t>
  </si>
  <si>
    <t xml:space="preserve">Scenario</t>
  </si>
  <si>
    <t xml:space="preserve">Base</t>
  </si>
  <si>
    <t xml:space="preserve">Third category from FY23</t>
  </si>
  <si>
    <t xml:space="preserve">None</t>
  </si>
  <si>
    <t xml:space="preserve">Category</t>
  </si>
  <si>
    <t xml:space="preserve">Market FY21 (Rs Cr)</t>
  </si>
  <si>
    <t xml:space="preserve">3-yr CAGR</t>
  </si>
  <si>
    <t xml:space="preserve">Organised share</t>
  </si>
  <si>
    <t xml:space="preserve">Our share by year 3</t>
  </si>
  <si>
    <t xml:space="preserve">Selling months</t>
  </si>
  <si>
    <t xml:space="preserve">Sales in Mar-Jul</t>
  </si>
  <si>
    <t xml:space="preserve">Contribution margin</t>
  </si>
  <si>
    <t xml:space="preserve">Source</t>
  </si>
  <si>
    <t xml:space="preserve">Spices</t>
  </si>
  <si>
    <t xml:space="preserve">Exhibit 5; team estimates; Excel contribution</t>
  </si>
  <si>
    <t xml:space="preserve">Premixes</t>
  </si>
  <si>
    <t xml:space="preserve">Pickles</t>
  </si>
  <si>
    <t xml:space="preserve">Exhibit 5; team estimates; Excel contribution (condiments)</t>
  </si>
  <si>
    <t xml:space="preserve">RTC mixes</t>
  </si>
  <si>
    <t xml:space="preserve">Exhibit 5; team estimates; contribution team estimate</t>
  </si>
  <si>
    <t xml:space="preserve">Net realisation (Rs 147 / Rs 195)</t>
  </si>
  <si>
    <t xml:space="preserve">Exhibit 2</t>
  </si>
  <si>
    <t xml:space="preserve">Core business FY21 (Rs Cr)</t>
  </si>
  <si>
    <t xml:space="preserve">Exhibit 1: Rs 560 Cr less 4.2% new products</t>
  </si>
  <si>
    <t xml:space="preserve">Core growth a year</t>
  </si>
  <si>
    <t xml:space="preserve">Exhibit 1: FY18-21 CAGR</t>
  </si>
  <si>
    <t xml:space="preserve">Today's new products FY21 (Rs Cr)</t>
  </si>
  <si>
    <t xml:space="preserve">Exhibit 1: 4.2% of Rs 560 Cr</t>
  </si>
  <si>
    <t xml:space="preserve">Today's new products growth</t>
  </si>
  <si>
    <t xml:space="preserve">Team estimate</t>
  </si>
  <si>
    <t xml:space="preserve">Retail outlets reached</t>
  </si>
  <si>
    <t xml:space="preserve">Exhibit 1</t>
  </si>
  <si>
    <t xml:space="preserve">Share of outlets stocking each new category</t>
  </si>
  <si>
    <t xml:space="preserve">Team estimate (velocity check only)</t>
  </si>
  <si>
    <t xml:space="preserve">Reach FY22</t>
  </si>
  <si>
    <t xml:space="preserve">Reach FY23</t>
  </si>
  <si>
    <t xml:space="preserve">Reach FY24</t>
  </si>
  <si>
    <t xml:space="preserve">Share multiplier</t>
  </si>
  <si>
    <t xml:space="preserve">Premix ramp FY22</t>
  </si>
  <si>
    <t xml:space="preserve">FY23</t>
  </si>
  <si>
    <t xml:space="preserve">FY24</t>
  </si>
  <si>
    <t xml:space="preserve">Spices ramp FY22</t>
  </si>
  <si>
    <t xml:space="preserve">Third ramp FY22</t>
  </si>
  <si>
    <t xml:space="preserve">Stretch</t>
  </si>
  <si>
    <t xml:space="preserve">Downside</t>
  </si>
  <si>
    <t xml:space="preserve">Selected</t>
  </si>
  <si>
    <t xml:space="preserve">Revenue (Rs Cr, net realisation)</t>
  </si>
  <si>
    <t xml:space="preserve">FY21</t>
  </si>
  <si>
    <t xml:space="preserve">FY22</t>
  </si>
  <si>
    <t xml:space="preserve">FY25E</t>
  </si>
  <si>
    <t xml:space="preserve">FY26E</t>
  </si>
  <si>
    <t xml:space="preserve">Core business</t>
  </si>
  <si>
    <t xml:space="preserve">Today's new products</t>
  </si>
  <si>
    <t xml:space="preserve">Third category (if chosen)</t>
  </si>
  <si>
    <t xml:space="preserve">New-category revenue</t>
  </si>
  <si>
    <t xml:space="preserve">New-product revenue</t>
  </si>
  <si>
    <t xml:space="preserve">Company revenue</t>
  </si>
  <si>
    <t xml:space="preserve">New-product share of revenue</t>
  </si>
  <si>
    <t xml:space="preserve">FY24 new-product revenue needed for 30%</t>
  </si>
  <si>
    <t xml:space="preserve">FY24 gap to 30% (positive = short)</t>
  </si>
  <si>
    <t xml:space="preserve">FY24 sales earned Mar-Jul</t>
  </si>
  <si>
    <t xml:space="preserve">Company revenue CAGR FY21-24</t>
  </si>
  <si>
    <t xml:space="preserve">Sense checks, FY24</t>
  </si>
  <si>
    <t xml:space="preserve">Share of national market (MRP basis)</t>
  </si>
  <si>
    <t xml:space="preserve">Sales per stocking outlet a month at MRP (Rs)</t>
  </si>
  <si>
    <t xml:space="preserve">FY24 revenue from one point of our share (Rs Cr, base reach 8%)</t>
  </si>
  <si>
    <t xml:space="preserve">Incremental P&amp;L and cash (Rs Cr)</t>
  </si>
  <si>
    <t xml:space="preserve">Contribution</t>
  </si>
  <si>
    <t xml:space="preserve">Launch A&amp;P</t>
  </si>
  <si>
    <t xml:space="preserve">R&amp;D, testing, QA</t>
  </si>
  <si>
    <t xml:space="preserve">Field selling</t>
  </si>
  <si>
    <t xml:space="preserve">Incremental EBITDA</t>
  </si>
  <si>
    <t xml:space="preserve">Net working capital (6.42% of new-category sales)</t>
  </si>
  <si>
    <t xml:space="preserve">Change in working capital</t>
  </si>
  <si>
    <t xml:space="preserve">Capex</t>
  </si>
  <si>
    <t xml:space="preserve">Free cash flow</t>
  </si>
  <si>
    <t xml:space="preserve">Cumulative free cash flow</t>
  </si>
  <si>
    <t xml:space="preserve">Payback year</t>
  </si>
  <si>
    <t xml:space="preserve">FY25E-26E: categories grow at market CAGR at full ramp; sustaining A&amp;P 6% of sales plus Rs 3 Cr; capex Rs 1 Cr a year. Programme spend FY22-24 per the Rs 75 Cr plan on the Assumptions tab. Excludes tax, depreciation and financing.</t>
  </si>
  <si>
    <t xml:space="preserve">RASMITRA | three-year growth feasibility dashboard</t>
  </si>
  <si>
    <t xml:space="preserve">CASE TARGET: FY24 ₹900Cr topline and ≥30% fresh-product revenue | illustrative editable model</t>
  </si>
  <si>
    <t xml:space="preserve">DECISION KPIs — formula-driven</t>
  </si>
  <si>
    <t xml:space="preserve">Key performance indicator</t>
  </si>
  <si>
    <t xml:space="preserve">Total revenue ₹Cr</t>
  </si>
  <si>
    <t xml:space="preserve">Fresh NPD revenue ₹Cr</t>
  </si>
  <si>
    <t xml:space="preserve">New share of company sales</t>
  </si>
  <si>
    <t xml:space="preserve">Spices revenue ₹Cr</t>
  </si>
  <si>
    <t xml:space="preserve">Winter premixes revenue ₹Cr</t>
  </si>
  <si>
    <t xml:space="preserve">Condiments revenue ₹Cr</t>
  </si>
  <si>
    <t xml:space="preserve">New-product contribution ₹Cr</t>
  </si>
  <si>
    <t xml:space="preserve">New-product EBITDA ₹Cr</t>
  </si>
  <si>
    <t xml:space="preserve">Project FCF ₹Cr</t>
  </si>
  <si>
    <t xml:space="preserve">Cumulative FCF ₹Cr</t>
  </si>
  <si>
    <t xml:space="preserve">Net working capital ₹Cr</t>
  </si>
  <si>
    <t xml:space="preserve">Budget committed cumulatively ₹Cr</t>
  </si>
  <si>
    <t xml:space="preserve">Programme budget headroom ₹Cr</t>
  </si>
  <si>
    <t xml:space="preserve">FY24 board-goal attainment</t>
  </si>
  <si>
    <t xml:space="preserve">Company revenue (model)</t>
  </si>
  <si>
    <t xml:space="preserve">Company revenue goal</t>
  </si>
  <si>
    <t xml:space="preserve">Revenue gap ₹ Cr</t>
  </si>
  <si>
    <t xml:space="preserve">Fresh product share (model)</t>
  </si>
  <si>
    <t xml:space="preserve">NPD mix target</t>
  </si>
  <si>
    <t xml:space="preserve">NPD mix gap (percentage points)</t>
  </si>
  <si>
    <t xml:space="preserve">Category demand vs target (₹Cr)</t>
  </si>
  <si>
    <t xml:space="preserve">FY24 cumulative project cash flow</t>
  </si>
  <si>
    <t xml:space="preserve">SCENARIO</t>
  </si>
  <si>
    <t xml:space="preserve">Budget / cash notes</t>
  </si>
  <si>
    <t xml:space="preserve">Budget commitment ≠ P&amp;L expense; working-capital draw is based on actual calculated NWC, not on the reserved line.</t>
  </si>
  <si>
    <t xml:space="preserve">Model limitations</t>
  </si>
  <si>
    <t xml:space="preserve">FY24 baseline, channel velocities, pricing and gross profits are planning inputs. Plant utilisation and core EBITDA cannot be reliably projected.</t>
  </si>
  <si>
    <t xml:space="preserve">FY24 distributor net economic profit (₹Cr)</t>
  </si>
  <si>
    <t xml:space="preserve">Annual net profit per participating distributor (₹)</t>
  </si>
  <si>
    <t xml:space="preserve">GT channel partner economic check</t>
  </si>
  <si>
    <t xml:space="preserve">MASTER ASSUMPTIONS | all editable inputs</t>
  </si>
  <si>
    <t xml:space="preserve">Sources: Exhibit = case data; Team = submitted strategy; Illustrative = editable, needs pilot/quotes.</t>
  </si>
  <si>
    <t xml:space="preserve">Model control</t>
  </si>
  <si>
    <t xml:space="preserve">GT economic detail</t>
  </si>
  <si>
    <t xml:space="preserve">Value</t>
  </si>
  <si>
    <t xml:space="preserve">Explanation</t>
  </si>
  <si>
    <t xml:space="preserve">Selected scenario</t>
  </si>
  <si>
    <t xml:space="preserve">FY21 revenue (₹Cr)</t>
  </si>
  <si>
    <t xml:space="preserve">Retailer margin / consumer MRP</t>
  </si>
  <si>
    <t xml:space="preserve">Exhibit 2 Products A/B</t>
  </si>
  <si>
    <t xml:space="preserve">Illustrative proxy for new foods</t>
  </si>
  <si>
    <t xml:space="preserve">Downside unit velocity shock</t>
  </si>
  <si>
    <t xml:space="preserve">FY21 new products share</t>
  </si>
  <si>
    <t xml:space="preserve">Distributor margin / retailer buy price</t>
  </si>
  <si>
    <t xml:space="preserve">Do not combine as 26% of consumer MRP</t>
  </si>
  <si>
    <t xml:space="preserve">Downside COGS surcharge / sales</t>
  </si>
  <si>
    <t xml:space="preserve">FY21 gross margin</t>
  </si>
  <si>
    <t xml:space="preserve">Distributor handling cost / trial pack ₹</t>
  </si>
  <si>
    <t xml:space="preserve">Illustrative</t>
  </si>
  <si>
    <t xml:space="preserve">Returns, picking, van delivery</t>
  </si>
  <si>
    <t xml:space="preserve">Downside extra trade spend</t>
  </si>
  <si>
    <t xml:space="preserve">FY21 EBITDA margin</t>
  </si>
  <si>
    <t xml:space="preserve">Distributor handling cost / large pack ₹</t>
  </si>
  <si>
    <t xml:space="preserve">Downside extra DSO (days)</t>
  </si>
  <si>
    <t xml:space="preserve">Programme funding ceiling (₹Cr)</t>
  </si>
  <si>
    <t xml:space="preserve">Board mandate</t>
  </si>
  <si>
    <t xml:space="preserve">Stockholding days at distributor</t>
  </si>
  <si>
    <t xml:space="preserve">Supply partner interviews required</t>
  </si>
  <si>
    <t xml:space="preserve">Annual retail MRP increase</t>
  </si>
  <si>
    <t xml:space="preserve">FY24 sales ambition (₹Cr)</t>
  </si>
  <si>
    <t xml:space="preserve">Distributor cost of funds pa</t>
  </si>
  <si>
    <t xml:space="preserve">Interest and inventory finance</t>
  </si>
  <si>
    <t xml:space="preserve">Annual unit COGS inflation</t>
  </si>
  <si>
    <t xml:space="preserve">FY24 new-product share target</t>
  </si>
  <si>
    <t xml:space="preserve">Distributors participating by FY24</t>
  </si>
  <si>
    <t xml:space="preserve">Exhibit 1, assumption</t>
  </si>
  <si>
    <t xml:space="preserve">Case has 390 distributors; all-participating is unvalidated</t>
  </si>
  <si>
    <t xml:space="preserve">Consumer sell-through proxy</t>
  </si>
  <si>
    <t xml:space="preserve">Distributor funding cycle days</t>
  </si>
  <si>
    <t xml:space="preserve">Not automatically the same as company DSO</t>
  </si>
  <si>
    <t xml:space="preserve">Core business + category planning targets (₹ Cr)</t>
  </si>
  <si>
    <t xml:space="preserve">Revenue assumption</t>
  </si>
  <si>
    <t xml:space="preserve">Important caveat</t>
  </si>
  <si>
    <t xml:space="preserve">Legacy portfolio</t>
  </si>
  <si>
    <t xml:space="preserve">Team scenario</t>
  </si>
  <si>
    <t xml:space="preserve">Legacy includes FY21 portfolio; these are NOT validated forecasts</t>
  </si>
  <si>
    <t xml:space="preserve">Spices target</t>
  </si>
  <si>
    <t xml:space="preserve">Comparator only, not forced in formula</t>
  </si>
  <si>
    <t xml:space="preserve">Winter premix target</t>
  </si>
  <si>
    <t xml:space="preserve">Condiments target</t>
  </si>
  <si>
    <t xml:space="preserve">SKU/format assumptions — all price and unit COGS inputs are hypothetical</t>
  </si>
  <si>
    <t xml:space="preserve">Code</t>
  </si>
  <si>
    <t xml:space="preserve">Proposed SKU</t>
  </si>
  <si>
    <t xml:space="preserve">Pack format</t>
  </si>
  <si>
    <t xml:space="preserve">MRP FY22 ₹</t>
  </si>
  <si>
    <t xml:space="preserve">Unit COGS FY22 ₹</t>
  </si>
  <si>
    <t xml:space="preserve">Weeks/year</t>
  </si>
  <si>
    <t xml:space="preserve">Pricing caution</t>
  </si>
  <si>
    <t xml:space="preserve">SAB_T</t>
  </si>
  <si>
    <t xml:space="preserve">Everyday Sabzi Masala</t>
  </si>
  <si>
    <t xml:space="preserve">8g trial</t>
  </si>
  <si>
    <t xml:space="preserve">Trial pack may be uneconomic online</t>
  </si>
  <si>
    <t xml:space="preserve">SAB_L</t>
  </si>
  <si>
    <t xml:space="preserve">50g pouch</t>
  </si>
  <si>
    <t xml:space="preserve">Team + illustrative</t>
  </si>
  <si>
    <t xml:space="preserve">₹49 MRP hypothetical</t>
  </si>
  <si>
    <t xml:space="preserve">GAR_T</t>
  </si>
  <si>
    <t xml:space="preserve">Garam Masala</t>
  </si>
  <si>
    <t xml:space="preserve">5g trial</t>
  </si>
  <si>
    <t xml:space="preserve">GAR_L</t>
  </si>
  <si>
    <t xml:space="preserve">GIN_T</t>
  </si>
  <si>
    <t xml:space="preserve">Ginger-Lemon Hot Drink</t>
  </si>
  <si>
    <t xml:space="preserve">15g single sachet</t>
  </si>
  <si>
    <t xml:space="preserve">Check against ginger tea competitors</t>
  </si>
  <si>
    <t xml:space="preserve">GIN_L</t>
  </si>
  <si>
    <t xml:space="preserve">10-sachet pack</t>
  </si>
  <si>
    <t xml:space="preserve">₹99 may be premium vs incumbent</t>
  </si>
  <si>
    <t xml:space="preserve">BAD_T</t>
  </si>
  <si>
    <t xml:space="preserve">Badam-Elaichi Milk Mix</t>
  </si>
  <si>
    <t xml:space="preserve">Customer must additionally buy milk</t>
  </si>
  <si>
    <t xml:space="preserve">BAD_L</t>
  </si>
  <si>
    <t xml:space="preserve">150g pouch</t>
  </si>
  <si>
    <t xml:space="preserve">CHU_T</t>
  </si>
  <si>
    <t xml:space="preserve">Condiments</t>
  </si>
  <si>
    <t xml:space="preserve">Tamarind-Date Chutney</t>
  </si>
  <si>
    <t xml:space="preserve">20g sachet</t>
  </si>
  <si>
    <t xml:space="preserve">Packaging/storage stability to test</t>
  </si>
  <si>
    <t xml:space="preserve">CHU_L</t>
  </si>
  <si>
    <t xml:space="preserve">200g pack</t>
  </si>
  <si>
    <t xml:space="preserve">Shelf-life/cost to test</t>
  </si>
  <si>
    <t xml:space="preserve">PIC_T</t>
  </si>
  <si>
    <t xml:space="preserve">Lime Pickle</t>
  </si>
  <si>
    <t xml:space="preserve">Sampling and local taste to test</t>
  </si>
  <si>
    <t xml:space="preserve">PIC_L</t>
  </si>
  <si>
    <t xml:space="preserve">Channel economics — case partner margins / trade spend and credit days</t>
  </si>
  <si>
    <t xml:space="preserve">Channel</t>
  </si>
  <si>
    <t xml:space="preserve">Partner margin / MRP</t>
  </si>
  <si>
    <t xml:space="preserve">Trade spend / net revenue</t>
  </si>
  <si>
    <t xml:space="preserve">DSO days</t>
  </si>
  <si>
    <t xml:space="preserve">Freight ₹/pack</t>
  </si>
  <si>
    <t xml:space="preserve">Inventory days</t>
  </si>
  <si>
    <t xml:space="preserve">DPO days</t>
  </si>
  <si>
    <t xml:space="preserve">GT</t>
  </si>
  <si>
    <t xml:space="preserve">Exhibit 3 margins, trade, credit; other = assumption</t>
  </si>
  <si>
    <t xml:space="preserve">Modern</t>
  </si>
  <si>
    <t xml:space="preserve">QCom</t>
  </si>
  <si>
    <t xml:space="preserve">Programme budget: 3-year allocation, ₹ Cr (source: team scenario, EDITABLE)</t>
  </si>
  <si>
    <t xml:space="preserve">Budget use</t>
  </si>
  <si>
    <t xml:space="preserve">3-year total</t>
  </si>
  <si>
    <t xml:space="preserve">Accounting treatment</t>
  </si>
  <si>
    <t xml:space="preserve">Launch A&amp;P, sampling</t>
  </si>
  <si>
    <t xml:space="preserve">Operating programme expense</t>
  </si>
  <si>
    <t xml:space="preserve">Incremental working capital envelope</t>
  </si>
  <si>
    <t xml:space="preserve">Funding reserve; not operating expense</t>
  </si>
  <si>
    <t xml:space="preserve">Development, testing, QA</t>
  </si>
  <si>
    <t xml:space="preserve">Operating programme expense (simplification)</t>
  </si>
  <si>
    <t xml:space="preserve">Field selling and training</t>
  </si>
  <si>
    <t xml:space="preserve">Small capex</t>
  </si>
  <si>
    <t xml:space="preserve">Cash capex, not immediate EBITDA expense</t>
  </si>
  <si>
    <t xml:space="preserve">Contingency / unspent reserve</t>
  </si>
  <si>
    <t xml:space="preserve">Reserve; expensed only if deployed</t>
  </si>
  <si>
    <t xml:space="preserve">TOTAL COMMITMENT</t>
  </si>
  <si>
    <t xml:space="preserve">Quarterly seasonality &amp; sales conversion assumptions</t>
  </si>
  <si>
    <t xml:space="preserve">DISTRIBUTION × VELOCITY editable inputs — illustrative, not observed demand</t>
  </si>
  <si>
    <t xml:space="preserve">Q1 weight</t>
  </si>
  <si>
    <t xml:space="preserve">Q2 weight</t>
  </si>
  <si>
    <t xml:space="preserve">Q3 weight</t>
  </si>
  <si>
    <t xml:space="preserve">Q4 weight</t>
  </si>
  <si>
    <t xml:space="preserve">Fiscal year</t>
  </si>
  <si>
    <t xml:space="preserve">SKU code</t>
  </si>
  <si>
    <t xml:space="preserve">Avg productive outlets</t>
  </si>
  <si>
    <t xml:space="preserve">Gross packs/outlet/week</t>
  </si>
  <si>
    <t xml:space="preserve">Who validates</t>
  </si>
  <si>
    <t xml:space="preserve">Data status</t>
  </si>
  <si>
    <t xml:space="preserve">Illustrative (replace with pilot)</t>
  </si>
  <si>
    <t xml:space="preserve">Sales + channel partner</t>
  </si>
  <si>
    <t xml:space="preserve">Unvalidated</t>
  </si>
  <si>
    <t xml:space="preserve">FY21 core volume</t>
  </si>
  <si>
    <t xml:space="preserve">BOTTOM-UP SALES ENGINE | 12 packs × 3 channels × 3 years</t>
  </si>
  <si>
    <t xml:space="preserve">Blue demand assumptions are on Assumptions tab; values here are linked. Sales use consumer offtake proxy, not pipeline stuffing.</t>
  </si>
  <si>
    <t xml:space="preserve">FY</t>
  </si>
  <si>
    <t xml:space="preserve">MRP ₹</t>
  </si>
  <si>
    <t xml:space="preserve">COGS/pack ₹</t>
  </si>
  <si>
    <t xml:space="preserve">Selling weeks</t>
  </si>
  <si>
    <t xml:space="preserve">Packs/outlet/week</t>
  </si>
  <si>
    <t xml:space="preserve">Sell-through</t>
  </si>
  <si>
    <t xml:space="preserve">Partner margin</t>
  </si>
  <si>
    <t xml:space="preserve">Trade spend</t>
  </si>
  <si>
    <t xml:space="preserve">Freight/pack ₹</t>
  </si>
  <si>
    <t xml:space="preserve">Gross shipped packs</t>
  </si>
  <si>
    <t xml:space="preserve">Net sold packs</t>
  </si>
  <si>
    <t xml:space="preserve">Company ₹/pack</t>
  </si>
  <si>
    <t xml:space="preserve">Net revenue ₹Cr</t>
  </si>
  <si>
    <t xml:space="preserve">COGS ₹Cr</t>
  </si>
  <si>
    <t xml:space="preserve">Trade ₹Cr</t>
  </si>
  <si>
    <t xml:space="preserve">Freight ₹Cr</t>
  </si>
  <si>
    <t xml:space="preserve">Contribution ₹Cr</t>
  </si>
  <si>
    <t xml:space="preserve">Contrib. %</t>
  </si>
  <si>
    <t xml:space="preserve">Data source</t>
  </si>
  <si>
    <t xml:space="preserve">SKU name / pack</t>
  </si>
  <si>
    <t xml:space="preserve">PORTFOLIO | company revenue bridge &amp; FY24 targets</t>
  </si>
  <si>
    <t xml:space="preserve">Revenue bridge (₹Cr)</t>
  </si>
  <si>
    <t xml:space="preserve">FY21 actual</t>
  </si>
  <si>
    <t xml:space="preserve">Spices — new</t>
  </si>
  <si>
    <t xml:space="preserve">Winter premixes — new</t>
  </si>
  <si>
    <t xml:space="preserve">Condiments — new</t>
  </si>
  <si>
    <t xml:space="preserve">NEW product sales</t>
  </si>
  <si>
    <t xml:space="preserve">Company total (model)</t>
  </si>
  <si>
    <t xml:space="preserve">New share of total</t>
  </si>
  <si>
    <t xml:space="preserve">Company revenue growth</t>
  </si>
  <si>
    <t xml:space="preserve">Target: new share</t>
  </si>
  <si>
    <t xml:space="preserve">Target: company revenue</t>
  </si>
  <si>
    <t xml:space="preserve">Gap to ₹900 Cr</t>
  </si>
  <si>
    <t xml:space="preserve">Gap to 30% share</t>
  </si>
  <si>
    <t xml:space="preserve">Target: spices</t>
  </si>
  <si>
    <t xml:space="preserve">Target: premixes</t>
  </si>
  <si>
    <t xml:space="preserve">Target: condiments</t>
  </si>
  <si>
    <t xml:space="preserve">Spices gap vs plan</t>
  </si>
  <si>
    <t xml:space="preserve">Premixes gap vs plan</t>
  </si>
  <si>
    <t xml:space="preserve">Condiments gap vs plan</t>
  </si>
  <si>
    <t xml:space="preserve">INCREMENTAL NPD P&amp;L | ₹ Cr, FY22–FY24</t>
  </si>
  <si>
    <t xml:space="preserve">P&amp;L line / ₹Cr</t>
  </si>
  <si>
    <t xml:space="preserve">Net product sales (realisation)</t>
  </si>
  <si>
    <t xml:space="preserve">Product COGS incl. shock</t>
  </si>
  <si>
    <t xml:space="preserve">Gross profit</t>
  </si>
  <si>
    <t xml:space="preserve">Gross margin</t>
  </si>
  <si>
    <t xml:space="preserve">Channel trade spend / schemes</t>
  </si>
  <si>
    <t xml:space="preserve">Freight and fulfilment</t>
  </si>
  <si>
    <t xml:space="preserve">Contribution after variable costs</t>
  </si>
  <si>
    <t xml:space="preserve">Programme A&amp;P / sampling</t>
  </si>
  <si>
    <t xml:space="preserve">Programme R&amp;D, testing, QA</t>
  </si>
  <si>
    <t xml:space="preserve">Incremental selling/training</t>
  </si>
  <si>
    <t xml:space="preserve">Incremental EBITDA / operating profit</t>
  </si>
  <si>
    <t xml:space="preserve">Incremental EBITDA margin</t>
  </si>
  <si>
    <t xml:space="preserve">Variable costs / sales</t>
  </si>
  <si>
    <t xml:space="preserve">Trade costs / sales</t>
  </si>
  <si>
    <t xml:space="preserve">Assumes programme marketing budget includes all above-the-line / sampling; avoids double-counting within per-unit trade spend.</t>
  </si>
  <si>
    <t xml:space="preserve">INCREMENTAL WORKING CAPITAL | funding cash requirement</t>
  </si>
  <si>
    <t xml:space="preserve">Working capital (₹Cr)</t>
  </si>
  <si>
    <t xml:space="preserve">GT net sales</t>
  </si>
  <si>
    <t xml:space="preserve">Modern net sales</t>
  </si>
  <si>
    <t xml:space="preserve">QCom net sales</t>
  </si>
  <si>
    <t xml:space="preserve">Trade receivables / AR</t>
  </si>
  <si>
    <t xml:space="preserve">Product cost of goods</t>
  </si>
  <si>
    <t xml:space="preserve">Inventory cash tied up</t>
  </si>
  <si>
    <t xml:space="preserve">Trade payables / AP</t>
  </si>
  <si>
    <t xml:space="preserve">Incremental net working capital</t>
  </si>
  <si>
    <t xml:space="preserve">Change in NWC (cash used)</t>
  </si>
  <si>
    <t xml:space="preserve">Available WC funding envelope cumulative</t>
  </si>
  <si>
    <t xml:space="preserve">NWC headroom / (shortfall)</t>
  </si>
  <si>
    <t xml:space="preserve">NWC % of net sales</t>
  </si>
  <si>
    <t xml:space="preserve">Scenario DSO delta (days)</t>
  </si>
  <si>
    <t xml:space="preserve">Inventory and supplier credit use illustrative average days; channel-specific cost ratios require supplier negotiation and detailed pilots.</t>
  </si>
  <si>
    <t xml:space="preserve">PROJECT CASH FLOW | payback, funding &amp; budget constraints</t>
  </si>
  <si>
    <t xml:space="preserve">Incremental project (₹ Cr)</t>
  </si>
  <si>
    <t xml:space="preserve">Contribution before programme A&amp;P</t>
  </si>
  <si>
    <t xml:space="preserve">Programme cash A&amp;P, QA and selling</t>
  </si>
  <si>
    <t xml:space="preserve">Operating cash before working capital</t>
  </si>
  <si>
    <t xml:space="preserve">Change in NWC (investment)</t>
  </si>
  <si>
    <t xml:space="preserve">Capital expenditure</t>
  </si>
  <si>
    <t xml:space="preserve">Net project free cash flow</t>
  </si>
  <si>
    <t xml:space="preserve">Cumulative project free cash flow</t>
  </si>
  <si>
    <t xml:space="preserve">Undrawn contingency budget</t>
  </si>
  <si>
    <t xml:space="preserve">Total budget commitments (all uses)</t>
  </si>
  <si>
    <t xml:space="preserve">Cumulative budget committed</t>
  </si>
  <si>
    <t xml:space="preserve">Cumulative commitment capacity</t>
  </si>
  <si>
    <t xml:space="preserve">Budget headroom</t>
  </si>
  <si>
    <t xml:space="preserve">Cumulative A&amp;P, QA, selling and capex</t>
  </si>
  <si>
    <t xml:space="preserve">NWC financing requirement</t>
  </si>
  <si>
    <t xml:space="preserve">Project cash recovery achieved?</t>
  </si>
  <si>
    <t xml:space="preserve">Cumulative free cash flow incl. FY21 start 0</t>
  </si>
  <si>
    <t xml:space="preserve">Payback here means cumulative project FCF ≥0; cash flows exclude tax, depreciation, financing, terminal value and core-biz profit.</t>
  </si>
  <si>
    <t xml:space="preserve">₹18Cr is a working-capital financing envelope, NOT cash expense. ₹5Cr contingency is a reserve, not automatically spent.</t>
  </si>
  <si>
    <t xml:space="preserve">SEASONALITY | FY24 new-product revenue allocation</t>
  </si>
  <si>
    <t xml:space="preserve">Q1 Apr–Jun</t>
  </si>
  <si>
    <t xml:space="preserve">Q2 Jul–Sep</t>
  </si>
  <si>
    <t xml:space="preserve">Q3 Oct–Dec</t>
  </si>
  <si>
    <t xml:space="preserve">Q4 Jan–Mar</t>
  </si>
  <si>
    <t xml:space="preserve">Total</t>
  </si>
  <si>
    <t xml:space="preserve">All new products</t>
  </si>
  <si>
    <t xml:space="preserve">New product quarterly share</t>
  </si>
  <si>
    <t xml:space="preserve">Legacy core volume seasonal proxy</t>
  </si>
  <si>
    <t xml:space="preserve">Illustrative legacy sales using volume proxy</t>
  </si>
  <si>
    <t xml:space="preserve">Company Qtr revenue proxy</t>
  </si>
  <si>
    <t xml:space="preserve">Company quarterly mix proxy</t>
  </si>
  <si>
    <t xml:space="preserve">FY21 core quarter shares are VOLUME. Applying to legacy SALES is explicitly a simplifying proxy, not case-certified quarterly revenue.</t>
  </si>
  <si>
    <t xml:space="preserve">With third-party food manufacturing, new-food sales do not automatically improve beverage plant utilisation.</t>
  </si>
  <si>
    <t xml:space="preserve">CHECKS &amp; DECISION GATES | PASS is not proof of demand</t>
  </si>
  <si>
    <t xml:space="preserve">Question / requirement</t>
  </si>
  <si>
    <t xml:space="preserve">Company sales ₹Cr</t>
  </si>
  <si>
    <t xml:space="preserve">Fresh-new NPD sales ₹Cr</t>
  </si>
  <si>
    <t xml:space="preserve">NPD share of sales</t>
  </si>
  <si>
    <t xml:space="preserve">30% target hit in FY24</t>
  </si>
  <si>
    <t xml:space="preserve">₹900Cr topline target hit FY24</t>
  </si>
  <si>
    <t xml:space="preserve">₹75Cr programme budget</t>
  </si>
  <si>
    <t xml:space="preserve">Actual NWC within cumulative ₹18Cr envelope</t>
  </si>
  <si>
    <t xml:space="preserve">Project FCF cumulatively positive</t>
  </si>
  <si>
    <t xml:space="preserve">Product contribution positive</t>
  </si>
  <si>
    <t xml:space="preserve">New revenue vs team annual target</t>
  </si>
  <si>
    <t xml:space="preserve">FY24 target gap in ₹Cr</t>
  </si>
  <si>
    <t xml:space="preserve">Q4 / Q3 season sales share</t>
  </si>
  <si>
    <t xml:space="preserve">Anonymised region assumptions needed</t>
  </si>
  <si>
    <t xml:space="preserve">SOURCE NOT GIVEN</t>
  </si>
  <si>
    <t xml:space="preserve">Consumer demand validation status</t>
  </si>
  <si>
    <t xml:space="preserve">UNVALIDATED</t>
  </si>
  <si>
    <t xml:space="preserve">Case baseline EBITDA coverage</t>
  </si>
  <si>
    <t xml:space="preserve">NOT MODELED</t>
  </si>
  <si>
    <t xml:space="preserve">Working-capital DSO shock included</t>
  </si>
  <si>
    <t xml:space="preserve">Product C legacy negative margin checked</t>
  </si>
  <si>
    <t xml:space="preserve">EXHIBIT 2: -₹7.1Cr</t>
  </si>
  <si>
    <t xml:space="preserve">FY24 GT distributor modeled net earnings</t>
  </si>
  <si>
    <t xml:space="preserve">FY24 individual SKU/channel negative contribution rows</t>
  </si>
  <si>
    <t xml:space="preserve">PASS on target compares outputs to case targets; all outcomes remain projections until sales, conversion and product costs are validated.</t>
  </si>
  <si>
    <t xml:space="preserve">TRADE SAFEGUARD | FY24 distributor profit by SKU</t>
  </si>
  <si>
    <t xml:space="preserve">Exhibit 2 retail 18% &amp; distributor 8% (of retailer net) imply 24.56% combined margin; channel engine uses rounded 25% Exhibit 3.</t>
  </si>
  <si>
    <t xml:space="preserve">FY24 GT net units</t>
  </si>
  <si>
    <t xml:space="preserve">Consumer sell-out ₹Cr</t>
  </si>
  <si>
    <t xml:space="preserve">Retailer margin ₹Cr</t>
  </si>
  <si>
    <t xml:space="preserve">Dist gross margin ₹Cr</t>
  </si>
  <si>
    <t xml:space="preserve">Handling ₹Cr</t>
  </si>
  <si>
    <t xml:space="preserve">Financing ₹Cr</t>
  </si>
  <si>
    <t xml:space="preserve">Dist net earnings ₹Cr</t>
  </si>
  <si>
    <t xml:space="preserve">Per dist annual ₹</t>
  </si>
  <si>
    <t xml:space="preserve">Dist earn ₹/pack</t>
  </si>
  <si>
    <t xml:space="preserve">Commercial check</t>
  </si>
  <si>
    <t xml:space="preserve">TOTAL TRADE ECONOMICS</t>
  </si>
  <si>
    <t xml:space="preserve">Case channel margins are blended, unlike Exhibit 2 two-step margin waterfall. Use retailer and distributor contracts to resolve difference.</t>
  </si>
  <si>
    <t xml:space="preserve">Model uses equal allocation across 390 distributors as a proxy. Actual profit dispersion, inventory turns and trade-credit liability must be validated.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</si>
</sst>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"/>
    <numFmt numFmtId="166" formatCode="0.0%"/>
    <numFmt numFmtId="167" formatCode="0.00%"/>
    <numFmt numFmtId="168" formatCode="#,##0"/>
    <numFmt numFmtId="169" formatCode="0.0;\-0.0"/>
    <numFmt numFmtId="170" formatCode="#,##0.00;[RED]\(#,##0.00\);\-"/>
    <numFmt numFmtId="171" formatCode="0.0%;[RED]\(0.0%\);\-"/>
    <numFmt numFmtId="172" formatCode="General"/>
    <numFmt numFmtId="173" formatCode="#,##0;[RED]\(#,##0\);\-"/>
    <numFmt numFmtId="174" formatCode="0.00"/>
  </numFmts>
  <fonts count="1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7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3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5B6573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008000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1"/>
      <color rgb="FF1F2937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4263D"/>
        <bgColor rgb="FF1F2937"/>
      </patternFill>
    </fill>
    <fill>
      <patternFill patternType="solid">
        <fgColor rgb="FFFFF2CC"/>
        <bgColor rgb="FFFFF8D8"/>
      </patternFill>
    </fill>
    <fill>
      <patternFill patternType="solid">
        <fgColor rgb="FF046A38"/>
        <bgColor rgb="FF008000"/>
      </patternFill>
    </fill>
    <fill>
      <patternFill patternType="solid">
        <fgColor rgb="FFEAF3F6"/>
        <bgColor rgb="FFF0F4F8"/>
      </patternFill>
    </fill>
    <fill>
      <patternFill patternType="solid">
        <fgColor rgb="FFF0F4F8"/>
        <bgColor rgb="FFEAF3F6"/>
      </patternFill>
    </fill>
    <fill>
      <patternFill patternType="solid">
        <fgColor rgb="FFFFF8D8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5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5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6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5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5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5" fillId="7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5" fillId="7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5" fillId="7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3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3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6" fillId="5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6" fillId="5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6A38"/>
      <rgbColor rgb="FFC0C0C0"/>
      <rgbColor rgb="FF808080"/>
      <rgbColor rgb="FF9999FF"/>
      <rgbColor rgb="FF993366"/>
      <rgbColor rgb="FFFFF8D8"/>
      <rgbColor rgb="FFEAF3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8"/>
      <rgbColor rgb="FFCCFFCC"/>
      <rgbColor rgb="FFFFF2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573"/>
      <rgbColor rgb="FF969696"/>
      <rgbColor rgb="FF14263D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  <col collapsed="false" customWidth="true" hidden="false" outlineLevel="0" max="3" min="3" style="0" width="19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customFormat="false" ht="24" hidden="false" customHeight="true" outlineLevel="0" collapsed="false">
      <c r="A3" s="2" t="s">
        <v>1</v>
      </c>
      <c r="B3" s="3" t="s">
        <v>2</v>
      </c>
    </row>
    <row r="4" customFormat="false" ht="24" hidden="false" customHeight="true" outlineLevel="0" collapsed="false">
      <c r="A4" s="2" t="s">
        <v>3</v>
      </c>
      <c r="B4" s="3" t="s">
        <v>4</v>
      </c>
    </row>
    <row r="5" customFormat="false" ht="24" hidden="false" customHeight="true" outlineLevel="0" collapsed="false">
      <c r="A5" s="2" t="s">
        <v>5</v>
      </c>
      <c r="B5" s="3" t="s">
        <v>6</v>
      </c>
    </row>
    <row r="6" customFormat="false" ht="24" hidden="false" customHeight="true" outlineLevel="0" collapsed="false">
      <c r="A6" s="2" t="s">
        <v>7</v>
      </c>
      <c r="B6" s="3" t="s">
        <v>8</v>
      </c>
    </row>
    <row r="7" customFormat="false" ht="24" hidden="false" customHeight="true" outlineLevel="0" collapsed="false">
      <c r="A7" s="2" t="s">
        <v>9</v>
      </c>
      <c r="B7" s="3" t="s">
        <v>10</v>
      </c>
    </row>
    <row r="8" customFormat="false" ht="24" hidden="false" customHeight="true" outlineLevel="0" collapsed="false">
      <c r="A8" s="2" t="s">
        <v>11</v>
      </c>
      <c r="B8" s="3" t="s">
        <v>12</v>
      </c>
    </row>
    <row r="9" customFormat="false" ht="24" hidden="false" customHeight="true" outlineLevel="0" collapsed="false">
      <c r="A9" s="2" t="s">
        <v>13</v>
      </c>
      <c r="B9" s="3" t="s">
        <v>14</v>
      </c>
    </row>
    <row r="10" customFormat="false" ht="24" hidden="false" customHeight="true" outlineLevel="0" collapsed="false">
      <c r="A10" s="2" t="s">
        <v>15</v>
      </c>
      <c r="B10" s="3" t="s">
        <v>16</v>
      </c>
    </row>
    <row r="11" customFormat="false" ht="24" hidden="false" customHeight="true" outlineLevel="0" collapsed="false">
      <c r="A11" s="2" t="s">
        <v>17</v>
      </c>
      <c r="B11" s="3" t="s">
        <v>18</v>
      </c>
    </row>
    <row r="12" customFormat="false" ht="24" hidden="false" customHeight="true" outlineLevel="0" collapsed="false">
      <c r="A12" s="2" t="s">
        <v>19</v>
      </c>
      <c r="B12" s="3" t="s">
        <v>20</v>
      </c>
    </row>
    <row r="13" customFormat="false" ht="24" hidden="false" customHeight="true" outlineLevel="0" collapsed="false">
      <c r="A13" s="2" t="s">
        <v>21</v>
      </c>
      <c r="B13" s="3" t="s">
        <v>22</v>
      </c>
    </row>
    <row r="14" customFormat="false" ht="24" hidden="false" customHeight="true" outlineLevel="0" collapsed="false">
      <c r="A14" s="2" t="s">
        <v>23</v>
      </c>
      <c r="B14" s="3" t="s">
        <v>24</v>
      </c>
    </row>
    <row r="15" customFormat="false" ht="24" hidden="false" customHeight="true" outlineLevel="0" collapsed="false">
      <c r="A15" s="2" t="s">
        <v>25</v>
      </c>
      <c r="B15" s="3" t="s">
        <v>26</v>
      </c>
    </row>
    <row r="16" customFormat="false" ht="24" hidden="false" customHeight="true" outlineLevel="0" collapsed="false">
      <c r="A16" s="2" t="s">
        <v>27</v>
      </c>
      <c r="B16" s="3" t="s">
        <v>28</v>
      </c>
    </row>
    <row r="17" customFormat="false" ht="24" hidden="false" customHeight="true" outlineLevel="0" collapsed="false">
      <c r="A17" s="2" t="s">
        <v>29</v>
      </c>
      <c r="B17" s="3" t="s">
        <v>30</v>
      </c>
    </row>
    <row r="18" customFormat="false" ht="24" hidden="false" customHeight="true" outlineLevel="0" collapsed="false">
      <c r="A18" s="2" t="s">
        <v>31</v>
      </c>
      <c r="B18" s="3" t="s">
        <v>32</v>
      </c>
    </row>
    <row r="19" customFormat="false" ht="24" hidden="false" customHeight="true" outlineLevel="0" collapsed="false">
      <c r="A19" s="2" t="s">
        <v>33</v>
      </c>
      <c r="B19" s="3" t="s">
        <v>34</v>
      </c>
    </row>
    <row r="21" customFormat="false" ht="15" hidden="false" customHeight="false" outlineLevel="0" collapsed="false">
      <c r="A21" s="0" t="s">
        <v>35</v>
      </c>
    </row>
    <row r="22" customFormat="false" ht="15" hidden="false" customHeight="false" outlineLevel="0" collapsed="false">
      <c r="A22" s="0" t="s">
        <v>36</v>
      </c>
    </row>
  </sheetData>
  <mergeCells count="1">
    <mergeCell ref="A1:K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14" min="2" style="0" width="14"/>
  </cols>
  <sheetData>
    <row r="1" customFormat="false" ht="16.15" hidden="false" customHeight="false" outlineLevel="0" collapsed="false">
      <c r="A1" s="4" t="s">
        <v>37</v>
      </c>
    </row>
    <row r="2" customFormat="false" ht="15" hidden="false" customHeight="false" outlineLevel="0" collapsed="false">
      <c r="A2" s="0" t="s">
        <v>38</v>
      </c>
    </row>
    <row r="3" customFormat="false" ht="15" hidden="false" customHeight="false" outlineLevel="0" collapsed="false">
      <c r="A3" s="0" t="s">
        <v>39</v>
      </c>
      <c r="B3" s="5" t="s">
        <v>40</v>
      </c>
    </row>
    <row r="4" customFormat="false" ht="15" hidden="false" customHeight="false" outlineLevel="0" collapsed="false">
      <c r="A4" s="0" t="s">
        <v>41</v>
      </c>
      <c r="B4" s="5" t="s">
        <v>42</v>
      </c>
    </row>
    <row r="6" customFormat="false" ht="15" hidden="false" customHeight="false" outlineLevel="0" collapsed="false">
      <c r="A6" s="6" t="s">
        <v>43</v>
      </c>
      <c r="B6" s="6" t="s">
        <v>44</v>
      </c>
      <c r="C6" s="6" t="s">
        <v>45</v>
      </c>
      <c r="D6" s="6" t="s">
        <v>46</v>
      </c>
      <c r="E6" s="6" t="s">
        <v>47</v>
      </c>
      <c r="F6" s="6" t="s">
        <v>48</v>
      </c>
      <c r="G6" s="6" t="s">
        <v>49</v>
      </c>
      <c r="H6" s="6" t="s">
        <v>50</v>
      </c>
      <c r="I6" s="6" t="s">
        <v>51</v>
      </c>
    </row>
    <row r="7" customFormat="false" ht="15" hidden="false" customHeight="false" outlineLevel="0" collapsed="false">
      <c r="A7" s="0" t="s">
        <v>52</v>
      </c>
      <c r="B7" s="7" t="n">
        <v>78000</v>
      </c>
      <c r="C7" s="7" t="n">
        <v>0.11</v>
      </c>
      <c r="D7" s="7" t="n">
        <v>0.42</v>
      </c>
      <c r="E7" s="7" t="n">
        <v>0.03</v>
      </c>
      <c r="F7" s="7" t="n">
        <v>12</v>
      </c>
      <c r="G7" s="7" t="n">
        <f aca="false">5/12</f>
        <v>0.416666666666667</v>
      </c>
      <c r="H7" s="7" t="n">
        <v>0.199</v>
      </c>
      <c r="I7" s="0" t="s">
        <v>53</v>
      </c>
    </row>
    <row r="8" customFormat="false" ht="15" hidden="false" customHeight="false" outlineLevel="0" collapsed="false">
      <c r="A8" s="0" t="s">
        <v>54</v>
      </c>
      <c r="B8" s="7" t="n">
        <v>6400</v>
      </c>
      <c r="C8" s="7" t="n">
        <v>0.14</v>
      </c>
      <c r="D8" s="7" t="n">
        <v>0.55</v>
      </c>
      <c r="E8" s="7" t="n">
        <v>0.1</v>
      </c>
      <c r="F8" s="7" t="n">
        <v>5</v>
      </c>
      <c r="G8" s="7" t="n">
        <v>0.1</v>
      </c>
      <c r="H8" s="7" t="n">
        <v>0.256</v>
      </c>
      <c r="I8" s="0" t="s">
        <v>53</v>
      </c>
    </row>
    <row r="9" customFormat="false" ht="15" hidden="false" customHeight="false" outlineLevel="0" collapsed="false">
      <c r="A9" s="0" t="s">
        <v>55</v>
      </c>
      <c r="B9" s="7" t="n">
        <v>12500</v>
      </c>
      <c r="C9" s="7" t="n">
        <v>0.13</v>
      </c>
      <c r="D9" s="7" t="n">
        <v>0.38</v>
      </c>
      <c r="E9" s="7" t="n">
        <v>0.05</v>
      </c>
      <c r="F9" s="7" t="n">
        <v>12</v>
      </c>
      <c r="G9" s="7" t="n">
        <f aca="false">5/12</f>
        <v>0.416666666666667</v>
      </c>
      <c r="H9" s="7" t="n">
        <v>0.224</v>
      </c>
      <c r="I9" s="0" t="s">
        <v>56</v>
      </c>
    </row>
    <row r="10" customFormat="false" ht="15" hidden="false" customHeight="false" outlineLevel="0" collapsed="false">
      <c r="A10" s="0" t="s">
        <v>57</v>
      </c>
      <c r="B10" s="7" t="n">
        <v>9800</v>
      </c>
      <c r="C10" s="7" t="n">
        <v>0.17</v>
      </c>
      <c r="D10" s="7" t="n">
        <v>0.61</v>
      </c>
      <c r="E10" s="7" t="n">
        <v>0.04</v>
      </c>
      <c r="F10" s="7" t="n">
        <v>12</v>
      </c>
      <c r="G10" s="7" t="n">
        <f aca="false">5/12</f>
        <v>0.416666666666667</v>
      </c>
      <c r="H10" s="7" t="n">
        <v>0.22</v>
      </c>
      <c r="I10" s="0" t="s">
        <v>58</v>
      </c>
    </row>
    <row r="12" customFormat="false" ht="15" hidden="false" customHeight="false" outlineLevel="0" collapsed="false">
      <c r="A12" s="0" t="s">
        <v>59</v>
      </c>
      <c r="B12" s="7" t="n">
        <f aca="false">147/195</f>
        <v>0.753846153846154</v>
      </c>
      <c r="C12" s="0" t="s">
        <v>60</v>
      </c>
    </row>
    <row r="13" customFormat="false" ht="15" hidden="false" customHeight="false" outlineLevel="0" collapsed="false">
      <c r="A13" s="0" t="s">
        <v>61</v>
      </c>
      <c r="B13" s="7" t="n">
        <v>536.48</v>
      </c>
      <c r="C13" s="0" t="s">
        <v>62</v>
      </c>
    </row>
    <row r="14" customFormat="false" ht="15" hidden="false" customHeight="false" outlineLevel="0" collapsed="false">
      <c r="A14" s="0" t="s">
        <v>63</v>
      </c>
      <c r="B14" s="7" t="n">
        <v>0.048</v>
      </c>
      <c r="C14" s="0" t="s">
        <v>64</v>
      </c>
    </row>
    <row r="15" customFormat="false" ht="15" hidden="false" customHeight="false" outlineLevel="0" collapsed="false">
      <c r="A15" s="0" t="s">
        <v>65</v>
      </c>
      <c r="B15" s="7" t="n">
        <v>23.52</v>
      </c>
      <c r="C15" s="0" t="s">
        <v>66</v>
      </c>
    </row>
    <row r="16" customFormat="false" ht="15" hidden="false" customHeight="false" outlineLevel="0" collapsed="false">
      <c r="A16" s="0" t="s">
        <v>67</v>
      </c>
      <c r="B16" s="7" t="n">
        <v>0.1</v>
      </c>
      <c r="C16" s="0" t="s">
        <v>68</v>
      </c>
    </row>
    <row r="17" customFormat="false" ht="15" hidden="false" customHeight="false" outlineLevel="0" collapsed="false">
      <c r="A17" s="0" t="s">
        <v>69</v>
      </c>
      <c r="B17" s="7" t="n">
        <v>450000</v>
      </c>
      <c r="C17" s="0" t="s">
        <v>70</v>
      </c>
    </row>
    <row r="18" customFormat="false" ht="15" hidden="false" customHeight="false" outlineLevel="0" collapsed="false">
      <c r="A18" s="0" t="s">
        <v>71</v>
      </c>
      <c r="B18" s="7" t="n">
        <v>0.5</v>
      </c>
      <c r="C18" s="0" t="s">
        <v>72</v>
      </c>
    </row>
    <row r="20" customFormat="false" ht="15" hidden="false" customHeight="false" outlineLevel="0" collapsed="false">
      <c r="A20" s="6" t="s">
        <v>39</v>
      </c>
      <c r="B20" s="6" t="s">
        <v>73</v>
      </c>
      <c r="C20" s="6" t="s">
        <v>74</v>
      </c>
      <c r="D20" s="6" t="s">
        <v>75</v>
      </c>
      <c r="E20" s="6" t="s">
        <v>76</v>
      </c>
      <c r="F20" s="6" t="s">
        <v>77</v>
      </c>
      <c r="G20" s="6" t="s">
        <v>78</v>
      </c>
      <c r="H20" s="6" t="s">
        <v>79</v>
      </c>
      <c r="I20" s="6" t="s">
        <v>80</v>
      </c>
      <c r="J20" s="6" t="s">
        <v>78</v>
      </c>
      <c r="K20" s="6" t="s">
        <v>79</v>
      </c>
      <c r="L20" s="6" t="s">
        <v>81</v>
      </c>
      <c r="M20" s="6" t="s">
        <v>78</v>
      </c>
      <c r="N20" s="6" t="s">
        <v>79</v>
      </c>
    </row>
    <row r="21" customFormat="false" ht="15" hidden="false" customHeight="false" outlineLevel="0" collapsed="false">
      <c r="A21" s="0" t="s">
        <v>40</v>
      </c>
      <c r="B21" s="7" t="n">
        <v>0.08</v>
      </c>
      <c r="C21" s="7" t="n">
        <v>0.08</v>
      </c>
      <c r="D21" s="7" t="n">
        <v>0.08</v>
      </c>
      <c r="E21" s="7" t="n">
        <v>1</v>
      </c>
      <c r="F21" s="7" t="n">
        <v>0.3</v>
      </c>
      <c r="G21" s="7" t="n">
        <v>0.75</v>
      </c>
      <c r="H21" s="7" t="n">
        <v>1</v>
      </c>
      <c r="I21" s="7" t="n">
        <v>0.05</v>
      </c>
      <c r="J21" s="7" t="n">
        <v>0.6</v>
      </c>
      <c r="K21" s="7" t="n">
        <v>0.95</v>
      </c>
      <c r="L21" s="7" t="n">
        <v>0</v>
      </c>
      <c r="M21" s="7" t="n">
        <v>0.15</v>
      </c>
      <c r="N21" s="7" t="n">
        <v>0.75</v>
      </c>
    </row>
    <row r="22" customFormat="false" ht="15" hidden="false" customHeight="false" outlineLevel="0" collapsed="false">
      <c r="A22" s="0" t="s">
        <v>82</v>
      </c>
      <c r="B22" s="7" t="n">
        <v>0.08</v>
      </c>
      <c r="C22" s="7" t="n">
        <v>0.09</v>
      </c>
      <c r="D22" s="7" t="n">
        <v>0.1</v>
      </c>
      <c r="E22" s="7" t="n">
        <v>1.5</v>
      </c>
      <c r="F22" s="7" t="n">
        <v>0.3</v>
      </c>
      <c r="G22" s="7" t="n">
        <v>0.75</v>
      </c>
      <c r="H22" s="7" t="n">
        <v>1</v>
      </c>
      <c r="I22" s="7" t="n">
        <v>0.05</v>
      </c>
      <c r="J22" s="7" t="n">
        <v>0.6</v>
      </c>
      <c r="K22" s="7" t="n">
        <v>0.95</v>
      </c>
      <c r="L22" s="7" t="n">
        <v>0</v>
      </c>
      <c r="M22" s="7" t="n">
        <v>0.15</v>
      </c>
      <c r="N22" s="7" t="n">
        <v>0.75</v>
      </c>
    </row>
    <row r="23" customFormat="false" ht="15" hidden="false" customHeight="false" outlineLevel="0" collapsed="false">
      <c r="A23" s="0" t="s">
        <v>83</v>
      </c>
      <c r="B23" s="7" t="n">
        <v>0.08</v>
      </c>
      <c r="C23" s="7" t="n">
        <v>0.08</v>
      </c>
      <c r="D23" s="7" t="n">
        <v>0.08</v>
      </c>
      <c r="E23" s="7" t="n">
        <v>0.6</v>
      </c>
      <c r="F23" s="7" t="n">
        <v>0</v>
      </c>
      <c r="G23" s="7" t="n">
        <v>0.3</v>
      </c>
      <c r="H23" s="7" t="n">
        <v>0.75</v>
      </c>
      <c r="I23" s="7" t="n">
        <v>0</v>
      </c>
      <c r="J23" s="7" t="n">
        <v>0.25</v>
      </c>
      <c r="K23" s="7" t="n">
        <v>0.75</v>
      </c>
      <c r="L23" s="7" t="n">
        <v>0</v>
      </c>
      <c r="M23" s="7" t="n">
        <v>0</v>
      </c>
      <c r="N23" s="7" t="n">
        <v>0.3</v>
      </c>
    </row>
    <row r="24" customFormat="false" ht="15" hidden="false" customHeight="false" outlineLevel="0" collapsed="false">
      <c r="A24" s="8" t="s">
        <v>84</v>
      </c>
      <c r="B24" s="8" t="n">
        <f aca="false">INDEX(B21:B23,MATCH($B$3,$A$21:$A$23,0))</f>
        <v>0.08</v>
      </c>
      <c r="C24" s="8" t="n">
        <f aca="false">INDEX(C21:C23,MATCH($B$3,$A$21:$A$23,0))</f>
        <v>0.08</v>
      </c>
      <c r="D24" s="8" t="n">
        <f aca="false">INDEX(D21:D23,MATCH($B$3,$A$21:$A$23,0))</f>
        <v>0.08</v>
      </c>
      <c r="E24" s="8" t="n">
        <f aca="false">INDEX(E21:E23,MATCH($B$3,$A$21:$A$23,0))</f>
        <v>1</v>
      </c>
      <c r="F24" s="8" t="n">
        <f aca="false">INDEX(F21:F23,MATCH($B$3,$A$21:$A$23,0))</f>
        <v>0.3</v>
      </c>
      <c r="G24" s="8" t="n">
        <f aca="false">INDEX(G21:G23,MATCH($B$3,$A$21:$A$23,0))</f>
        <v>0.75</v>
      </c>
      <c r="H24" s="8" t="n">
        <f aca="false">INDEX(H21:H23,MATCH($B$3,$A$21:$A$23,0))</f>
        <v>1</v>
      </c>
      <c r="I24" s="8" t="n">
        <f aca="false">INDEX(I21:I23,MATCH($B$3,$A$21:$A$23,0))</f>
        <v>0.05</v>
      </c>
      <c r="J24" s="8" t="n">
        <f aca="false">INDEX(J21:J23,MATCH($B$3,$A$21:$A$23,0))</f>
        <v>0.6</v>
      </c>
      <c r="K24" s="8" t="n">
        <f aca="false">INDEX(K21:K23,MATCH($B$3,$A$21:$A$23,0))</f>
        <v>0.95</v>
      </c>
      <c r="L24" s="8" t="n">
        <f aca="false">INDEX(L21:L23,MATCH($B$3,$A$21:$A$23,0))</f>
        <v>0</v>
      </c>
      <c r="M24" s="8" t="n">
        <f aca="false">INDEX(M21:M23,MATCH($B$3,$A$21:$A$23,0))</f>
        <v>0.15</v>
      </c>
      <c r="N24" s="8" t="n">
        <f aca="false">INDEX(N21:N23,MATCH($B$3,$A$21:$A$23,0))</f>
        <v>0.75</v>
      </c>
    </row>
    <row r="27" customFormat="false" ht="15" hidden="false" customHeight="false" outlineLevel="0" collapsed="false">
      <c r="A27" s="6" t="s">
        <v>85</v>
      </c>
      <c r="B27" s="6" t="s">
        <v>86</v>
      </c>
      <c r="C27" s="6" t="s">
        <v>87</v>
      </c>
      <c r="D27" s="6" t="s">
        <v>78</v>
      </c>
      <c r="E27" s="6" t="s">
        <v>79</v>
      </c>
      <c r="F27" s="6" t="s">
        <v>88</v>
      </c>
      <c r="G27" s="6" t="s">
        <v>89</v>
      </c>
    </row>
    <row r="28" customFormat="false" ht="15" hidden="false" customHeight="false" outlineLevel="0" collapsed="false">
      <c r="A28" s="0" t="s">
        <v>90</v>
      </c>
      <c r="B28" s="9" t="n">
        <f aca="false">B13</f>
        <v>536.48</v>
      </c>
      <c r="C28" s="9" t="n">
        <f aca="false">B28*(1+$B$14)</f>
        <v>562.23104</v>
      </c>
      <c r="D28" s="9" t="n">
        <f aca="false">C28*(1+$B$14)</f>
        <v>589.21812992</v>
      </c>
      <c r="E28" s="9" t="n">
        <f aca="false">D28*(1+$B$14)</f>
        <v>617.50060015616</v>
      </c>
    </row>
    <row r="29" customFormat="false" ht="15" hidden="false" customHeight="false" outlineLevel="0" collapsed="false">
      <c r="A29" s="0" t="s">
        <v>91</v>
      </c>
      <c r="B29" s="9" t="n">
        <f aca="false">B15</f>
        <v>23.52</v>
      </c>
      <c r="C29" s="9" t="n">
        <f aca="false">B29*(1+$B$16)</f>
        <v>25.872</v>
      </c>
      <c r="D29" s="9" t="n">
        <f aca="false">C29*(1+$B$16)</f>
        <v>28.4592</v>
      </c>
      <c r="E29" s="9" t="n">
        <f aca="false">D29*(1+$B$16)</f>
        <v>31.30512</v>
      </c>
    </row>
    <row r="30" customFormat="false" ht="15" hidden="false" customHeight="false" outlineLevel="0" collapsed="false">
      <c r="A30" s="0" t="s">
        <v>54</v>
      </c>
      <c r="B30" s="9" t="n">
        <v>0</v>
      </c>
      <c r="C30" s="9" t="n">
        <f aca="false">$B$8*(1+$C$8)^1*$D$8*B$24*$B$12*$E$8*$E$24*F$24</f>
        <v>7.26008123076923</v>
      </c>
      <c r="D30" s="9" t="n">
        <f aca="false">$B$8*(1+$C$8)^2*$D$8*C$24*$B$12*$E$8*$E$24*G$24</f>
        <v>20.6912315076923</v>
      </c>
      <c r="E30" s="9" t="n">
        <f aca="false">$B$8*(1+$C$8)^3*$D$8*D$24*$B$12*$E$8*$E$24*H$24</f>
        <v>31.4506718916923</v>
      </c>
      <c r="F30" s="9" t="n">
        <f aca="false">E30*(1+$C$8)</f>
        <v>35.8537659565292</v>
      </c>
      <c r="G30" s="9" t="n">
        <f aca="false">F30*(1+$C$8)</f>
        <v>40.8732931904433</v>
      </c>
    </row>
    <row r="31" customFormat="false" ht="15" hidden="false" customHeight="false" outlineLevel="0" collapsed="false">
      <c r="A31" s="0" t="s">
        <v>52</v>
      </c>
      <c r="B31" s="9" t="n">
        <v>0</v>
      </c>
      <c r="C31" s="9" t="n">
        <f aca="false">$B$7*(1+$C$7)^1*$D$7*B$24*$B$12*$E$7*$E$24*I$24</f>
        <v>3.2895072</v>
      </c>
      <c r="D31" s="9" t="n">
        <f aca="false">$B$7*(1+$C$7)^2*$D$7*C$24*$B$12*$E$7*$E$24*J$24</f>
        <v>43.816235904</v>
      </c>
      <c r="E31" s="9" t="n">
        <f aca="false">$B$7*(1+$C$7)^3*$D$7*D$24*$B$12*$E$7*$E$24*K$24</f>
        <v>77.00703460128</v>
      </c>
      <c r="F31" s="9" t="n">
        <f aca="false">E31/0.95*(1+$C$7)</f>
        <v>89.976640428864</v>
      </c>
      <c r="G31" s="9" t="n">
        <f aca="false">F31*(1+$C$7)</f>
        <v>99.8740708760391</v>
      </c>
    </row>
    <row r="32" customFormat="false" ht="15" hidden="false" customHeight="false" outlineLevel="0" collapsed="false">
      <c r="A32" s="0" t="s">
        <v>92</v>
      </c>
      <c r="B32" s="9" t="n">
        <v>0</v>
      </c>
      <c r="C32" s="9" t="n">
        <f aca="false">IF($B$4="Pickles",$B$9*(1+$C$9)^1*$D$9*B$24*$B$12*$E$9*$E$24*L$24,IF($B$4="RTC mixes",$B$10*(1+$C$10)^1*$D$10*B$24*$B$12*$E$10*$E$24*L$24,0))</f>
        <v>0</v>
      </c>
      <c r="D32" s="9" t="n">
        <f aca="false">IF($B$4="Pickles",$B$9*(1+$C$9)^2*$D$9*C$24*$B$12*$E$9*$E$24*M$24,IF($B$4="RTC mixes",$B$10*(1+$C$10)^2*$D$10*C$24*$B$12*$E$10*$E$24*M$24,0))</f>
        <v>0</v>
      </c>
      <c r="E32" s="9" t="n">
        <f aca="false">IF($B$4="Pickles",$B$9*(1+$C$9)^3*$D$9*D$24*$B$12*$E$9*$E$24*N$24,IF($B$4="RTC mixes",$B$10*(1+$C$10)^3*$D$10*D$24*$B$12*$E$10*$E$24*N$24,0))</f>
        <v>0</v>
      </c>
      <c r="F32" s="9" t="n">
        <f aca="false">E32*(1+IF($B$4="Pickles",$C$9,IF($B$4="RTC mixes",$C$10,0)))</f>
        <v>0</v>
      </c>
      <c r="G32" s="9" t="n">
        <f aca="false">F32*(1+IF($B$4="Pickles",$C$9,IF($B$4="RTC mixes",$C$10,0)))</f>
        <v>0</v>
      </c>
    </row>
    <row r="33" customFormat="false" ht="15" hidden="false" customHeight="false" outlineLevel="0" collapsed="false">
      <c r="A33" s="0" t="s">
        <v>93</v>
      </c>
      <c r="B33" s="9" t="n">
        <f aca="false">SUM(B30:B32)</f>
        <v>0</v>
      </c>
      <c r="C33" s="9" t="n">
        <f aca="false">SUM(C30:C32)</f>
        <v>10.5495884307692</v>
      </c>
      <c r="D33" s="9" t="n">
        <f aca="false">SUM(D30:D32)</f>
        <v>64.5074674116923</v>
      </c>
      <c r="E33" s="9" t="n">
        <f aca="false">SUM(E30:E32)</f>
        <v>108.457706492972</v>
      </c>
      <c r="F33" s="9" t="n">
        <f aca="false">SUM(F30:F32)</f>
        <v>125.830406385393</v>
      </c>
      <c r="G33" s="9" t="n">
        <f aca="false">SUM(G30:G32)</f>
        <v>140.747364066482</v>
      </c>
    </row>
    <row r="34" customFormat="false" ht="15" hidden="false" customHeight="false" outlineLevel="0" collapsed="false">
      <c r="A34" s="0" t="s">
        <v>94</v>
      </c>
      <c r="B34" s="9" t="n">
        <f aca="false">B29+B33</f>
        <v>23.52</v>
      </c>
      <c r="C34" s="9" t="n">
        <f aca="false">C29+C33</f>
        <v>36.4215884307692</v>
      </c>
      <c r="D34" s="9" t="n">
        <f aca="false">D29+D33</f>
        <v>92.9666674116923</v>
      </c>
      <c r="E34" s="9" t="n">
        <f aca="false">E29+E33</f>
        <v>139.762826492972</v>
      </c>
    </row>
    <row r="35" customFormat="false" ht="15" hidden="false" customHeight="false" outlineLevel="0" collapsed="false">
      <c r="A35" s="0" t="s">
        <v>95</v>
      </c>
      <c r="B35" s="9" t="n">
        <v>560</v>
      </c>
      <c r="C35" s="9" t="n">
        <f aca="false">C28+C34</f>
        <v>598.652628430769</v>
      </c>
      <c r="D35" s="9" t="n">
        <f aca="false">D28+D34</f>
        <v>682.184797331692</v>
      </c>
      <c r="E35" s="9" t="n">
        <f aca="false">E28+E34</f>
        <v>757.263426649132</v>
      </c>
    </row>
    <row r="36" customFormat="false" ht="15" hidden="false" customHeight="false" outlineLevel="0" collapsed="false">
      <c r="A36" s="8" t="s">
        <v>96</v>
      </c>
      <c r="B36" s="10" t="n">
        <f aca="false">B34/B35</f>
        <v>0.042</v>
      </c>
      <c r="C36" s="10" t="n">
        <f aca="false">C34/C35</f>
        <v>0.0608392692206833</v>
      </c>
      <c r="D36" s="10" t="n">
        <f aca="false">D34/D35</f>
        <v>0.136277835236616</v>
      </c>
      <c r="E36" s="11" t="n">
        <f aca="false">E34/E35</f>
        <v>0.184563022027115</v>
      </c>
    </row>
    <row r="38" customFormat="false" ht="15" hidden="false" customHeight="false" outlineLevel="0" collapsed="false">
      <c r="A38" s="0" t="s">
        <v>97</v>
      </c>
      <c r="E38" s="9" t="n">
        <f aca="false">0.3/0.7*E28</f>
        <v>264.64311435264</v>
      </c>
    </row>
    <row r="39" customFormat="false" ht="15" hidden="false" customHeight="false" outlineLevel="0" collapsed="false">
      <c r="A39" s="0" t="s">
        <v>98</v>
      </c>
      <c r="E39" s="9" t="n">
        <f aca="false">E38-E34</f>
        <v>124.880287859668</v>
      </c>
    </row>
    <row r="40" customFormat="false" ht="15" hidden="false" customHeight="false" outlineLevel="0" collapsed="false">
      <c r="A40" s="0" t="s">
        <v>99</v>
      </c>
      <c r="E40" s="10" t="n">
        <f aca="false">((E28+E29)*0.58+E30*G8+E31*G7+E32*IF($B$4="Pickles",G9,IF($B$4="RTC mixes",G10,0)))/E35</f>
        <v>0.543455071002158</v>
      </c>
    </row>
    <row r="41" customFormat="false" ht="15" hidden="false" customHeight="false" outlineLevel="0" collapsed="false">
      <c r="A41" s="0" t="s">
        <v>100</v>
      </c>
      <c r="E41" s="10" t="n">
        <f aca="false">(E35/560)^(1/3)-1</f>
        <v>0.105824782013891</v>
      </c>
    </row>
    <row r="43" customFormat="false" ht="15" hidden="false" customHeight="false" outlineLevel="0" collapsed="false">
      <c r="A43" s="6" t="s">
        <v>101</v>
      </c>
      <c r="B43" s="6" t="s">
        <v>54</v>
      </c>
      <c r="C43" s="6" t="s">
        <v>52</v>
      </c>
    </row>
    <row r="44" customFormat="false" ht="15" hidden="false" customHeight="false" outlineLevel="0" collapsed="false">
      <c r="A44" s="0" t="s">
        <v>102</v>
      </c>
      <c r="B44" s="12" t="n">
        <f aca="false">E30/$B$12/($B$8*(1+$C$8)^3)</f>
        <v>0.0044</v>
      </c>
      <c r="C44" s="12" t="n">
        <f aca="false">E31/$B$12/($B$7*(1+$C$7)^3)</f>
        <v>0.0009576</v>
      </c>
    </row>
    <row r="45" customFormat="false" ht="15" hidden="false" customHeight="false" outlineLevel="0" collapsed="false">
      <c r="A45" s="0" t="s">
        <v>103</v>
      </c>
      <c r="B45" s="13" t="n">
        <f aca="false">E30/$B$12*10^7/($B$17*$B$18)/$F$8</f>
        <v>370.8469248</v>
      </c>
      <c r="C45" s="13" t="n">
        <f aca="false">E31/$B$12*10^7/($B$17*$B$18)/$F$7</f>
        <v>378.34143984</v>
      </c>
    </row>
    <row r="46" customFormat="false" ht="15" hidden="false" customHeight="false" outlineLevel="0" collapsed="false">
      <c r="A46" s="0" t="s">
        <v>104</v>
      </c>
      <c r="B46" s="9" t="n">
        <f aca="false">$B$8*(1+$C$8)^3*$D$8*0.08*$B$12*0.01</f>
        <v>3.14506718916923</v>
      </c>
      <c r="C46" s="9" t="n">
        <f aca="false">$B$7*(1+$C$7)^3*$D$7*0.08*$B$12*0.01</f>
        <v>27.0200121408</v>
      </c>
    </row>
    <row r="48" customFormat="false" ht="15" hidden="false" customHeight="false" outlineLevel="0" collapsed="false">
      <c r="A48" s="6" t="s">
        <v>105</v>
      </c>
      <c r="B48" s="6"/>
      <c r="C48" s="6" t="s">
        <v>87</v>
      </c>
      <c r="D48" s="6" t="s">
        <v>78</v>
      </c>
      <c r="E48" s="6" t="s">
        <v>79</v>
      </c>
      <c r="F48" s="6" t="s">
        <v>88</v>
      </c>
      <c r="G48" s="6" t="s">
        <v>89</v>
      </c>
    </row>
    <row r="49" customFormat="false" ht="15" hidden="false" customHeight="false" outlineLevel="0" collapsed="false">
      <c r="A49" s="0" t="s">
        <v>106</v>
      </c>
      <c r="C49" s="14" t="n">
        <f aca="false">C30*$H$8+C31*$H$7+C32*IF($B$4="Pickles",$H$9,IF($B$4="RTC mixes",$H$10,0))</f>
        <v>2.51319272787692</v>
      </c>
      <c r="D49" s="14" t="n">
        <f aca="false">D30*$H$8+D31*$H$7+D32*IF($B$4="Pickles",$H$9,IF($B$4="RTC mixes",$H$10,0))</f>
        <v>14.0163862108652</v>
      </c>
      <c r="E49" s="14" t="n">
        <f aca="false">E30*$H$8+E31*$H$7+E32*IF($B$4="Pickles",$H$9,IF($B$4="RTC mixes",$H$10,0))</f>
        <v>23.375771889928</v>
      </c>
      <c r="F49" s="14" t="n">
        <f aca="false">F30*$H$8+F31*$H$7+F32*IF($B$4="Pickles",$H$9,IF($B$4="RTC mixes",$H$10,0))</f>
        <v>27.0839155302154</v>
      </c>
      <c r="G49" s="14" t="n">
        <f aca="false">G30*$H$8+G31*$H$7+G32*IF($B$4="Pickles",$H$9,IF($B$4="RTC mixes",$H$10,0))</f>
        <v>30.3385031610853</v>
      </c>
    </row>
    <row r="50" customFormat="false" ht="15" hidden="false" customHeight="false" outlineLevel="0" collapsed="false">
      <c r="A50" s="0" t="s">
        <v>107</v>
      </c>
      <c r="C50" s="14" t="n">
        <v>8</v>
      </c>
      <c r="D50" s="14" t="n">
        <v>14</v>
      </c>
      <c r="E50" s="14" t="n">
        <v>13</v>
      </c>
      <c r="F50" s="14" t="n">
        <f aca="false">0.06*F33+3</f>
        <v>10.5498243831236</v>
      </c>
      <c r="G50" s="14" t="n">
        <f aca="false">0.06*G33+3</f>
        <v>11.4448418439889</v>
      </c>
    </row>
    <row r="51" customFormat="false" ht="15" hidden="false" customHeight="false" outlineLevel="0" collapsed="false">
      <c r="A51" s="0" t="s">
        <v>108</v>
      </c>
      <c r="C51" s="14" t="n">
        <v>3</v>
      </c>
      <c r="D51" s="14" t="n">
        <v>2</v>
      </c>
      <c r="E51" s="14" t="n">
        <v>2</v>
      </c>
      <c r="F51" s="14" t="n">
        <v>0</v>
      </c>
      <c r="G51" s="14" t="n">
        <v>0</v>
      </c>
    </row>
    <row r="52" customFormat="false" ht="15" hidden="false" customHeight="false" outlineLevel="0" collapsed="false">
      <c r="A52" s="0" t="s">
        <v>109</v>
      </c>
      <c r="C52" s="14" t="n">
        <v>1</v>
      </c>
      <c r="D52" s="14" t="n">
        <v>2</v>
      </c>
      <c r="E52" s="14" t="n">
        <v>2</v>
      </c>
      <c r="F52" s="14" t="n">
        <v>0</v>
      </c>
      <c r="G52" s="14" t="n">
        <v>0</v>
      </c>
    </row>
    <row r="53" customFormat="false" ht="15" hidden="false" customHeight="false" outlineLevel="0" collapsed="false">
      <c r="A53" s="8" t="s">
        <v>110</v>
      </c>
      <c r="C53" s="14" t="n">
        <f aca="false">C49-SUM(C50:C52)</f>
        <v>-9.48680727212308</v>
      </c>
      <c r="D53" s="14" t="n">
        <f aca="false">D49-SUM(D50:D52)</f>
        <v>-3.98361378913477</v>
      </c>
      <c r="E53" s="14" t="n">
        <f aca="false">E49-SUM(E50:E52)</f>
        <v>6.37577188992795</v>
      </c>
      <c r="F53" s="14" t="n">
        <f aca="false">F49-SUM(F50:F52)</f>
        <v>16.5340911470918</v>
      </c>
      <c r="G53" s="14" t="n">
        <f aca="false">G49-SUM(G50:G52)</f>
        <v>18.8936613170963</v>
      </c>
    </row>
    <row r="54" customFormat="false" ht="15" hidden="false" customHeight="false" outlineLevel="0" collapsed="false">
      <c r="A54" s="0" t="s">
        <v>111</v>
      </c>
      <c r="C54" s="14" t="n">
        <f aca="false">C33*0.0642</f>
        <v>0.677283577255385</v>
      </c>
      <c r="D54" s="14" t="n">
        <f aca="false">D33*0.0642</f>
        <v>4.14137940783065</v>
      </c>
      <c r="E54" s="14" t="n">
        <f aca="false">E33*0.0642</f>
        <v>6.96298475684882</v>
      </c>
      <c r="F54" s="14" t="n">
        <f aca="false">F33*0.0642</f>
        <v>8.07831208994225</v>
      </c>
      <c r="G54" s="14" t="n">
        <f aca="false">G33*0.0642</f>
        <v>9.03598077306817</v>
      </c>
    </row>
    <row r="55" customFormat="false" ht="15" hidden="false" customHeight="false" outlineLevel="0" collapsed="false">
      <c r="A55" s="0" t="s">
        <v>112</v>
      </c>
      <c r="C55" s="14" t="n">
        <f aca="false">C54</f>
        <v>0.677283577255385</v>
      </c>
      <c r="D55" s="14" t="n">
        <f aca="false">D54-C54</f>
        <v>3.46409583057526</v>
      </c>
      <c r="E55" s="14" t="n">
        <f aca="false">E54-D54</f>
        <v>2.82160534901818</v>
      </c>
      <c r="F55" s="14" t="n">
        <f aca="false">F54-E54</f>
        <v>1.11532733309342</v>
      </c>
      <c r="G55" s="14" t="n">
        <f aca="false">G54-F54</f>
        <v>0.957668683125924</v>
      </c>
    </row>
    <row r="56" customFormat="false" ht="15" hidden="false" customHeight="false" outlineLevel="0" collapsed="false">
      <c r="A56" s="0" t="s">
        <v>113</v>
      </c>
      <c r="C56" s="14" t="n">
        <v>1</v>
      </c>
      <c r="D56" s="14" t="n">
        <v>2</v>
      </c>
      <c r="E56" s="14" t="n">
        <v>2</v>
      </c>
      <c r="F56" s="14" t="n">
        <v>1</v>
      </c>
      <c r="G56" s="14" t="n">
        <v>1</v>
      </c>
    </row>
    <row r="57" customFormat="false" ht="15" hidden="false" customHeight="false" outlineLevel="0" collapsed="false">
      <c r="A57" s="0" t="s">
        <v>114</v>
      </c>
      <c r="C57" s="14" t="n">
        <f aca="false">C53-C55-C56</f>
        <v>-11.1640908493785</v>
      </c>
      <c r="D57" s="14" t="n">
        <f aca="false">D53-D55-D56</f>
        <v>-9.44770961971003</v>
      </c>
      <c r="E57" s="14" t="n">
        <f aca="false">E53-E55-E56</f>
        <v>1.55416654090978</v>
      </c>
      <c r="F57" s="14" t="n">
        <f aca="false">F53-F55-F56</f>
        <v>14.4187638139984</v>
      </c>
      <c r="G57" s="14" t="n">
        <f aca="false">G53-G55-G56</f>
        <v>16.9359926339704</v>
      </c>
    </row>
    <row r="58" customFormat="false" ht="15" hidden="false" customHeight="false" outlineLevel="0" collapsed="false">
      <c r="A58" s="8" t="s">
        <v>115</v>
      </c>
      <c r="C58" s="14" t="n">
        <f aca="false">C57</f>
        <v>-11.1640908493785</v>
      </c>
      <c r="D58" s="14" t="n">
        <f aca="false">C58+D57</f>
        <v>-20.6118004690885</v>
      </c>
      <c r="E58" s="14" t="n">
        <f aca="false">D58+E57</f>
        <v>-19.0576339281787</v>
      </c>
      <c r="F58" s="14" t="n">
        <f aca="false">E58+F57</f>
        <v>-4.6388701141803</v>
      </c>
      <c r="G58" s="14" t="n">
        <f aca="false">F58+G57</f>
        <v>12.2971225197901</v>
      </c>
    </row>
    <row r="59" customFormat="false" ht="15" hidden="false" customHeight="false" outlineLevel="0" collapsed="false">
      <c r="A59" s="0" t="s">
        <v>116</v>
      </c>
      <c r="C59" s="0" t="str">
        <f aca="false">IFERROR(INDEX(C48:G48,MATCH(TRUE(),INDEX(C58:G58&gt;=0,0),0)),"Not by FY26E")</f>
        <v>FY26E</v>
      </c>
    </row>
    <row r="61" customFormat="false" ht="15" hidden="false" customHeight="false" outlineLevel="0" collapsed="false">
      <c r="A61" s="0" t="s">
        <v>117</v>
      </c>
    </row>
  </sheetData>
  <dataValidations count="2">
    <dataValidation allowBlank="false" errorStyle="stop" operator="between" showDropDown="false" showErrorMessage="false" showInputMessage="false" sqref="B3" type="list">
      <formula1>"Base,Stretch,Downside"</formula1>
      <formula2>0</formula2>
    </dataValidation>
    <dataValidation allowBlank="false" errorStyle="stop" operator="between" showDropDown="false" showErrorMessage="false" showInputMessage="false" sqref="B4" type="list">
      <formula1>"None,Pickles,RTC mixes"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22"/>
  </cols>
  <sheetData>
    <row r="1" customFormat="false" ht="36" hidden="false" customHeight="true" outlineLevel="0" collapsed="false">
      <c r="A1" s="1" t="s">
        <v>118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15" hidden="false" customHeight="false" outlineLevel="0" collapsed="false">
      <c r="A3" s="15" t="s">
        <v>119</v>
      </c>
      <c r="B3" s="15"/>
      <c r="C3" s="15"/>
      <c r="D3" s="15"/>
      <c r="E3" s="15"/>
      <c r="F3" s="15"/>
      <c r="G3" s="15"/>
      <c r="H3" s="15"/>
      <c r="I3" s="15"/>
      <c r="J3" s="15"/>
    </row>
    <row r="5" customFormat="false" ht="24.75" hidden="false" customHeight="true" outlineLevel="0" collapsed="false">
      <c r="A5" s="16" t="s">
        <v>120</v>
      </c>
      <c r="B5" s="16"/>
      <c r="C5" s="16"/>
      <c r="D5" s="16"/>
      <c r="E5" s="16"/>
    </row>
    <row r="6" customFormat="false" ht="15" hidden="false" customHeight="false" outlineLevel="0" collapsed="false">
      <c r="A6" s="0" t="s">
        <v>121</v>
      </c>
      <c r="B6" s="0" t="s">
        <v>87</v>
      </c>
      <c r="C6" s="0" t="s">
        <v>78</v>
      </c>
      <c r="D6" s="0" t="s">
        <v>79</v>
      </c>
    </row>
    <row r="7" customFormat="false" ht="15" hidden="false" customHeight="false" outlineLevel="0" collapsed="false">
      <c r="A7" s="17" t="s">
        <v>122</v>
      </c>
      <c r="B7" s="18" t="n">
        <f aca="false">Portfolio!C11</f>
        <v>612.833538633376</v>
      </c>
      <c r="C7" s="18" t="n">
        <f aca="false">Portfolio!D11</f>
        <v>773.635349173954</v>
      </c>
      <c r="D7" s="18" t="n">
        <f aca="false">Portfolio!E11</f>
        <v>972.0330765072</v>
      </c>
    </row>
    <row r="8" customFormat="false" ht="15" hidden="false" customHeight="false" outlineLevel="0" collapsed="false">
      <c r="A8" s="17" t="s">
        <v>123</v>
      </c>
      <c r="B8" s="18" t="n">
        <f aca="false">Portfolio!C10</f>
        <v>32.833538633376</v>
      </c>
      <c r="C8" s="18" t="n">
        <f aca="false">Portfolio!D10</f>
        <v>168.635349173954</v>
      </c>
      <c r="D8" s="18" t="n">
        <f aca="false">Portfolio!E10</f>
        <v>342.0330765072</v>
      </c>
    </row>
    <row r="9" customFormat="false" ht="15" hidden="false" customHeight="false" outlineLevel="0" collapsed="false">
      <c r="A9" s="17" t="s">
        <v>124</v>
      </c>
      <c r="B9" s="19" t="n">
        <f aca="false">Portfolio!C12</f>
        <v>0.053576602068149</v>
      </c>
      <c r="C9" s="19" t="n">
        <f aca="false">Portfolio!D12</f>
        <v>0.21797782295498</v>
      </c>
      <c r="D9" s="19" t="n">
        <f aca="false">Portfolio!E12</f>
        <v>0.351873907147507</v>
      </c>
    </row>
    <row r="10" customFormat="false" ht="15" hidden="false" customHeight="false" outlineLevel="0" collapsed="false">
      <c r="A10" s="0" t="s">
        <v>125</v>
      </c>
      <c r="B10" s="20" t="n">
        <f aca="false">Portfolio!C7</f>
        <v>17.71186240512</v>
      </c>
      <c r="C10" s="20" t="n">
        <f aca="false">Portfolio!D7</f>
        <v>90.92962733088</v>
      </c>
      <c r="D10" s="20" t="n">
        <f aca="false">Portfolio!E7</f>
        <v>184.4826488544</v>
      </c>
    </row>
    <row r="11" customFormat="false" ht="15" hidden="false" customHeight="false" outlineLevel="0" collapsed="false">
      <c r="A11" s="0" t="s">
        <v>126</v>
      </c>
      <c r="B11" s="20" t="n">
        <f aca="false">Portfolio!C8</f>
        <v>7.138044677088</v>
      </c>
      <c r="C11" s="20" t="n">
        <f aca="false">Portfolio!D8</f>
        <v>36.668845774054</v>
      </c>
      <c r="D11" s="20" t="n">
        <f aca="false">Portfolio!E8</f>
        <v>74.395012848</v>
      </c>
    </row>
    <row r="12" customFormat="false" ht="15" hidden="false" customHeight="false" outlineLevel="0" collapsed="false">
      <c r="A12" s="0" t="s">
        <v>127</v>
      </c>
      <c r="B12" s="20" t="n">
        <f aca="false">Portfolio!C9</f>
        <v>7.983631551168</v>
      </c>
      <c r="C12" s="20" t="n">
        <f aca="false">Portfolio!D9</f>
        <v>41.03687606902</v>
      </c>
      <c r="D12" s="20" t="n">
        <f aca="false">Portfolio!E9</f>
        <v>83.1554148048</v>
      </c>
    </row>
    <row r="13" customFormat="false" ht="15" hidden="false" customHeight="false" outlineLevel="0" collapsed="false">
      <c r="A13" s="21" t="s">
        <v>128</v>
      </c>
      <c r="B13" s="22" t="n">
        <f aca="false">P_and_L!B12</f>
        <v>7.14857828208576</v>
      </c>
      <c r="C13" s="22" t="n">
        <f aca="false">P_and_L!C12</f>
        <v>36.7207084922766</v>
      </c>
      <c r="D13" s="22" t="n">
        <f aca="false">P_and_L!D12</f>
        <v>74.469354408072</v>
      </c>
    </row>
    <row r="14" customFormat="false" ht="15" hidden="false" customHeight="false" outlineLevel="0" collapsed="false">
      <c r="A14" s="21" t="s">
        <v>129</v>
      </c>
      <c r="B14" s="22" t="n">
        <f aca="false">P_and_L!B17</f>
        <v>-4.85142171791424</v>
      </c>
      <c r="C14" s="22" t="n">
        <f aca="false">P_and_L!C17</f>
        <v>18.7207084922766</v>
      </c>
      <c r="D14" s="22" t="n">
        <f aca="false">P_and_L!D17</f>
        <v>57.469354408072</v>
      </c>
    </row>
    <row r="15" customFormat="false" ht="15" hidden="false" customHeight="false" outlineLevel="0" collapsed="false">
      <c r="A15" s="21" t="s">
        <v>130</v>
      </c>
      <c r="B15" s="22" t="n">
        <f aca="false">Cash_Flow!B11</f>
        <v>-30.9584593724516</v>
      </c>
      <c r="C15" s="22" t="n">
        <f aca="false">Cash_Flow!C11</f>
        <v>-0.993569241274155</v>
      </c>
      <c r="D15" s="22" t="n">
        <f aca="false">Cash_Flow!D11</f>
        <v>48.3402456411876</v>
      </c>
    </row>
    <row r="16" customFormat="false" ht="15" hidden="false" customHeight="false" outlineLevel="0" collapsed="false">
      <c r="A16" s="21" t="s">
        <v>131</v>
      </c>
      <c r="B16" s="22" t="n">
        <f aca="false">Cash_Flow!B12</f>
        <v>-30.9584593724516</v>
      </c>
      <c r="C16" s="22" t="n">
        <f aca="false">Cash_Flow!C12</f>
        <v>-31.9520286137257</v>
      </c>
      <c r="D16" s="22" t="n">
        <f aca="false">Cash_Flow!D12</f>
        <v>16.3882170274619</v>
      </c>
    </row>
    <row r="17" customFormat="false" ht="15" hidden="false" customHeight="false" outlineLevel="0" collapsed="false">
      <c r="A17" s="0" t="s">
        <v>132</v>
      </c>
      <c r="B17" s="20" t="n">
        <f aca="false">Working_Capital!B13</f>
        <v>2.10703765453735</v>
      </c>
      <c r="C17" s="20" t="n">
        <f aca="false">Working_Capital!C13</f>
        <v>10.8213153880881</v>
      </c>
      <c r="D17" s="20" t="n">
        <f aca="false">Working_Capital!D13</f>
        <v>21.9504241549725</v>
      </c>
    </row>
    <row r="18" customFormat="false" ht="15" hidden="false" customHeight="false" outlineLevel="0" collapsed="false">
      <c r="A18" s="0" t="s">
        <v>133</v>
      </c>
      <c r="B18" s="20" t="n">
        <f aca="false">Cash_Flow!B15</f>
        <v>18</v>
      </c>
      <c r="C18" s="20" t="n">
        <f aca="false">Cash_Flow!C15</f>
        <v>47</v>
      </c>
      <c r="D18" s="20" t="n">
        <f aca="false">Cash_Flow!D15</f>
        <v>75</v>
      </c>
    </row>
    <row r="19" customFormat="false" ht="15" hidden="false" customHeight="false" outlineLevel="0" collapsed="false">
      <c r="A19" s="0" t="s">
        <v>134</v>
      </c>
      <c r="B19" s="20" t="n">
        <f aca="false">Cash_Flow!B17</f>
        <v>57</v>
      </c>
      <c r="C19" s="20" t="n">
        <f aca="false">Cash_Flow!C17</f>
        <v>28</v>
      </c>
      <c r="D19" s="20" t="n">
        <f aca="false">Cash_Flow!D17</f>
        <v>0</v>
      </c>
    </row>
    <row r="22" customFormat="false" ht="24.75" hidden="false" customHeight="true" outlineLevel="0" collapsed="false">
      <c r="A22" s="16" t="s">
        <v>135</v>
      </c>
      <c r="B22" s="16"/>
      <c r="C22" s="16"/>
      <c r="D22" s="16"/>
      <c r="E22" s="16"/>
      <c r="F22" s="16"/>
    </row>
    <row r="23" customFormat="false" ht="15" hidden="false" customHeight="false" outlineLevel="0" collapsed="false">
      <c r="A23" s="17" t="s">
        <v>136</v>
      </c>
      <c r="B23" s="18" t="n">
        <f aca="false">Portfolio!E11</f>
        <v>972.0330765072</v>
      </c>
    </row>
    <row r="24" customFormat="false" ht="15" hidden="false" customHeight="false" outlineLevel="0" collapsed="false">
      <c r="A24" s="17" t="s">
        <v>137</v>
      </c>
      <c r="B24" s="18" t="n">
        <f aca="false">Assumptions!F11</f>
        <v>900</v>
      </c>
    </row>
    <row r="25" customFormat="false" ht="15" hidden="false" customHeight="false" outlineLevel="0" collapsed="false">
      <c r="A25" s="17" t="s">
        <v>138</v>
      </c>
      <c r="B25" s="23" t="n">
        <f aca="false">B23-B24</f>
        <v>72.0330765072</v>
      </c>
    </row>
    <row r="26" customFormat="false" ht="15" hidden="false" customHeight="false" outlineLevel="0" collapsed="false">
      <c r="A26" s="17" t="s">
        <v>139</v>
      </c>
      <c r="B26" s="19" t="n">
        <f aca="false">Portfolio!E12</f>
        <v>0.351873907147507</v>
      </c>
    </row>
    <row r="27" customFormat="false" ht="15" hidden="false" customHeight="false" outlineLevel="0" collapsed="false">
      <c r="A27" s="17" t="s">
        <v>140</v>
      </c>
      <c r="B27" s="19" t="n">
        <f aca="false">Assumptions!F12</f>
        <v>0.3</v>
      </c>
    </row>
    <row r="28" customFormat="false" ht="15" hidden="false" customHeight="false" outlineLevel="0" collapsed="false">
      <c r="A28" s="17" t="s">
        <v>141</v>
      </c>
      <c r="B28" s="24" t="n">
        <f aca="false">B26-B27</f>
        <v>0.051873907147507</v>
      </c>
    </row>
    <row r="29" customFormat="false" ht="15" hidden="false" customHeight="false" outlineLevel="0" collapsed="false">
      <c r="A29" s="0" t="s">
        <v>142</v>
      </c>
      <c r="B29" s="20" t="n">
        <f aca="false">Portfolio!E10-SUM(Assumptions!D18:D20)</f>
        <v>72.0330765072</v>
      </c>
    </row>
    <row r="30" customFormat="false" ht="15" hidden="false" customHeight="false" outlineLevel="0" collapsed="false">
      <c r="A30" s="0" t="s">
        <v>143</v>
      </c>
      <c r="B30" s="20" t="n">
        <f aca="false">Cash_Flow!D12</f>
        <v>16.3882170274619</v>
      </c>
    </row>
    <row r="33" customFormat="false" ht="15" hidden="false" customHeight="false" outlineLevel="0" collapsed="false">
      <c r="A33" s="0" t="s">
        <v>144</v>
      </c>
      <c r="B33" s="25" t="str">
        <f aca="false">Assumptions!C6</f>
        <v>Base</v>
      </c>
    </row>
    <row r="35" customFormat="false" ht="15" hidden="false" customHeight="false" outlineLevel="0" collapsed="false">
      <c r="A35" s="0" t="s">
        <v>145</v>
      </c>
    </row>
    <row r="36" customFormat="false" ht="15" hidden="false" customHeight="false" outlineLevel="0" collapsed="false">
      <c r="A36" s="0" t="s">
        <v>146</v>
      </c>
    </row>
    <row r="37" customFormat="false" ht="15" hidden="false" customHeight="false" outlineLevel="0" collapsed="false">
      <c r="A37" s="0" t="s">
        <v>147</v>
      </c>
    </row>
    <row r="38" customFormat="false" ht="15" hidden="false" customHeight="false" outlineLevel="0" collapsed="false">
      <c r="A38" s="0" t="s">
        <v>148</v>
      </c>
    </row>
    <row r="40" customFormat="false" ht="15" hidden="false" customHeight="false" outlineLevel="0" collapsed="false">
      <c r="A40" s="0" t="s">
        <v>149</v>
      </c>
      <c r="B40" s="20" t="n">
        <f aca="false">Distributor_Econ!J19</f>
        <v>6.83834637957348</v>
      </c>
    </row>
    <row r="41" customFormat="false" ht="15" hidden="false" customHeight="false" outlineLevel="0" collapsed="false">
      <c r="A41" s="0" t="s">
        <v>150</v>
      </c>
      <c r="B41" s="20" t="n">
        <f aca="false">Distributor_Econ!K19</f>
        <v>175342.214860858</v>
      </c>
    </row>
    <row r="42" customFormat="false" ht="15" hidden="false" customHeight="false" outlineLevel="0" collapsed="false">
      <c r="A42" s="0" t="s">
        <v>151</v>
      </c>
      <c r="B42" s="25" t="str">
        <f aca="false">IF(Distributor_Econ!J19&gt;0,"POSITIVE","LOSS")</f>
        <v>POSITIVE</v>
      </c>
    </row>
  </sheetData>
  <mergeCells count="2">
    <mergeCell ref="A1:J1"/>
    <mergeCell ref="A3:J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19"/>
    <col collapsed="false" customWidth="true" hidden="false" outlineLevel="0" max="4" min="3" style="0" width="26"/>
    <col collapsed="false" customWidth="true" hidden="false" outlineLevel="0" max="5" min="5" style="0" width="25"/>
    <col collapsed="false" customWidth="true" hidden="false" outlineLevel="0" max="6" min="6" style="0" width="52"/>
    <col collapsed="false" customWidth="true" hidden="false" outlineLevel="0" max="7" min="7" style="0" width="38"/>
    <col collapsed="false" customWidth="true" hidden="false" outlineLevel="0" max="8" min="8" style="0" width="35"/>
    <col collapsed="false" customWidth="true" hidden="false" outlineLevel="0" max="9" min="9" style="0" width="42"/>
    <col collapsed="false" customWidth="true" hidden="false" outlineLevel="0" max="10" min="10" style="0" width="43"/>
    <col collapsed="false" customWidth="true" hidden="false" outlineLevel="0" max="11" min="11" style="0" width="19"/>
    <col collapsed="false" customWidth="true" hidden="false" outlineLevel="0" max="12" min="12" style="0" width="26"/>
    <col collapsed="false" customWidth="true" hidden="false" outlineLevel="0" max="13" min="13" style="0" width="58"/>
  </cols>
  <sheetData>
    <row r="1" customFormat="false" ht="36" hidden="false" customHeight="true" outlineLevel="0" collapsed="false">
      <c r="A1" s="1" t="s">
        <v>152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15" hidden="false" customHeight="false" outlineLevel="0" collapsed="false">
      <c r="A3" s="15" t="s">
        <v>153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5" customFormat="false" ht="24.75" hidden="false" customHeight="true" outlineLevel="0" collapsed="false">
      <c r="A5" s="16" t="s">
        <v>154</v>
      </c>
      <c r="B5" s="16"/>
      <c r="C5" s="16"/>
      <c r="D5" s="16"/>
      <c r="E5" s="16"/>
      <c r="F5" s="16"/>
      <c r="J5" s="0" t="s">
        <v>155</v>
      </c>
      <c r="K5" s="0" t="s">
        <v>156</v>
      </c>
      <c r="L5" s="0" t="s">
        <v>51</v>
      </c>
      <c r="M5" s="0" t="s">
        <v>157</v>
      </c>
    </row>
    <row r="6" customFormat="false" ht="15" hidden="false" customHeight="false" outlineLevel="0" collapsed="false">
      <c r="B6" s="0" t="s">
        <v>158</v>
      </c>
      <c r="C6" s="26" t="s">
        <v>40</v>
      </c>
      <c r="E6" s="0" t="s">
        <v>159</v>
      </c>
      <c r="F6" s="26" t="n">
        <v>560</v>
      </c>
      <c r="G6" s="0" t="s">
        <v>70</v>
      </c>
      <c r="J6" s="0" t="s">
        <v>160</v>
      </c>
      <c r="K6" s="27" t="n">
        <v>0.18</v>
      </c>
      <c r="L6" s="0" t="s">
        <v>161</v>
      </c>
      <c r="M6" s="0" t="s">
        <v>162</v>
      </c>
    </row>
    <row r="7" customFormat="false" ht="15" hidden="false" customHeight="false" outlineLevel="0" collapsed="false">
      <c r="B7" s="0" t="s">
        <v>163</v>
      </c>
      <c r="C7" s="27" t="n">
        <v>0.3</v>
      </c>
      <c r="E7" s="0" t="s">
        <v>164</v>
      </c>
      <c r="F7" s="27" t="n">
        <v>0.042</v>
      </c>
      <c r="G7" s="0" t="s">
        <v>70</v>
      </c>
      <c r="J7" s="0" t="s">
        <v>165</v>
      </c>
      <c r="K7" s="27" t="n">
        <v>0.08</v>
      </c>
      <c r="L7" s="0" t="s">
        <v>161</v>
      </c>
      <c r="M7" s="0" t="s">
        <v>166</v>
      </c>
    </row>
    <row r="8" customFormat="false" ht="15" hidden="false" customHeight="false" outlineLevel="0" collapsed="false">
      <c r="B8" s="0" t="s">
        <v>167</v>
      </c>
      <c r="C8" s="27" t="n">
        <v>0.03</v>
      </c>
      <c r="E8" s="0" t="s">
        <v>168</v>
      </c>
      <c r="F8" s="27" t="n">
        <v>0.36</v>
      </c>
      <c r="G8" s="0" t="s">
        <v>70</v>
      </c>
      <c r="J8" s="0" t="s">
        <v>169</v>
      </c>
      <c r="K8" s="26" t="n">
        <v>0.4</v>
      </c>
      <c r="L8" s="0" t="s">
        <v>170</v>
      </c>
      <c r="M8" s="0" t="s">
        <v>171</v>
      </c>
    </row>
    <row r="9" customFormat="false" ht="15" hidden="false" customHeight="false" outlineLevel="0" collapsed="false">
      <c r="B9" s="0" t="s">
        <v>172</v>
      </c>
      <c r="C9" s="27" t="n">
        <v>0.02</v>
      </c>
      <c r="E9" s="0" t="s">
        <v>173</v>
      </c>
      <c r="F9" s="27" t="n">
        <v>0.105</v>
      </c>
      <c r="G9" s="0" t="s">
        <v>70</v>
      </c>
      <c r="J9" s="0" t="s">
        <v>174</v>
      </c>
      <c r="K9" s="26" t="n">
        <v>2.2</v>
      </c>
      <c r="L9" s="0" t="s">
        <v>170</v>
      </c>
      <c r="M9" s="0" t="s">
        <v>171</v>
      </c>
    </row>
    <row r="10" customFormat="false" ht="15" hidden="false" customHeight="false" outlineLevel="0" collapsed="false">
      <c r="B10" s="0" t="s">
        <v>175</v>
      </c>
      <c r="C10" s="26" t="n">
        <v>15</v>
      </c>
      <c r="E10" s="0" t="s">
        <v>176</v>
      </c>
      <c r="F10" s="26" t="n">
        <v>75</v>
      </c>
      <c r="G10" s="0" t="s">
        <v>177</v>
      </c>
      <c r="J10" s="0" t="s">
        <v>178</v>
      </c>
      <c r="K10" s="26" t="n">
        <v>18</v>
      </c>
      <c r="L10" s="0" t="s">
        <v>170</v>
      </c>
      <c r="M10" s="0" t="s">
        <v>179</v>
      </c>
    </row>
    <row r="11" customFormat="false" ht="15" hidden="false" customHeight="false" outlineLevel="0" collapsed="false">
      <c r="B11" s="0" t="s">
        <v>180</v>
      </c>
      <c r="C11" s="27" t="n">
        <v>0</v>
      </c>
      <c r="E11" s="0" t="s">
        <v>181</v>
      </c>
      <c r="F11" s="26" t="n">
        <v>900</v>
      </c>
      <c r="G11" s="0" t="s">
        <v>177</v>
      </c>
      <c r="J11" s="0" t="s">
        <v>182</v>
      </c>
      <c r="K11" s="27" t="n">
        <v>0.14</v>
      </c>
      <c r="L11" s="0" t="s">
        <v>170</v>
      </c>
      <c r="M11" s="0" t="s">
        <v>183</v>
      </c>
    </row>
    <row r="12" customFormat="false" ht="15" hidden="false" customHeight="false" outlineLevel="0" collapsed="false">
      <c r="B12" s="0" t="s">
        <v>184</v>
      </c>
      <c r="C12" s="27" t="n">
        <v>0</v>
      </c>
      <c r="E12" s="0" t="s">
        <v>185</v>
      </c>
      <c r="F12" s="27" t="n">
        <v>0.3</v>
      </c>
      <c r="G12" s="0" t="s">
        <v>177</v>
      </c>
      <c r="J12" s="0" t="s">
        <v>186</v>
      </c>
      <c r="K12" s="26" t="n">
        <v>390</v>
      </c>
      <c r="L12" s="0" t="s">
        <v>187</v>
      </c>
      <c r="M12" s="0" t="s">
        <v>188</v>
      </c>
    </row>
    <row r="13" customFormat="false" ht="15" hidden="false" customHeight="false" outlineLevel="0" collapsed="false">
      <c r="B13" s="0" t="s">
        <v>189</v>
      </c>
      <c r="C13" s="27" t="n">
        <v>0.95</v>
      </c>
      <c r="J13" s="0" t="s">
        <v>190</v>
      </c>
      <c r="K13" s="26" t="n">
        <v>21</v>
      </c>
      <c r="L13" s="0" t="s">
        <v>170</v>
      </c>
      <c r="M13" s="0" t="s">
        <v>191</v>
      </c>
    </row>
    <row r="15" customFormat="false" ht="24.75" hidden="false" customHeight="true" outlineLevel="0" collapsed="false">
      <c r="A15" s="16" t="s">
        <v>192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customFormat="false" ht="15" hidden="false" customHeight="false" outlineLevel="0" collapsed="false">
      <c r="A16" s="0" t="s">
        <v>193</v>
      </c>
      <c r="B16" s="0" t="s">
        <v>87</v>
      </c>
      <c r="C16" s="0" t="s">
        <v>78</v>
      </c>
      <c r="D16" s="0" t="s">
        <v>79</v>
      </c>
      <c r="E16" s="0" t="s">
        <v>51</v>
      </c>
      <c r="F16" s="0" t="s">
        <v>194</v>
      </c>
    </row>
    <row r="17" customFormat="false" ht="15" hidden="false" customHeight="false" outlineLevel="0" collapsed="false">
      <c r="A17" s="0" t="s">
        <v>195</v>
      </c>
      <c r="B17" s="26" t="n">
        <v>580</v>
      </c>
      <c r="C17" s="26" t="n">
        <v>605</v>
      </c>
      <c r="D17" s="26" t="n">
        <v>630</v>
      </c>
      <c r="E17" s="0" t="s">
        <v>196</v>
      </c>
      <c r="F17" s="0" t="s">
        <v>197</v>
      </c>
    </row>
    <row r="18" customFormat="false" ht="15" hidden="false" customHeight="false" outlineLevel="0" collapsed="false">
      <c r="A18" s="0" t="s">
        <v>198</v>
      </c>
      <c r="B18" s="26" t="n">
        <v>10</v>
      </c>
      <c r="C18" s="26" t="n">
        <v>70</v>
      </c>
      <c r="D18" s="26" t="n">
        <v>135</v>
      </c>
      <c r="E18" s="0" t="s">
        <v>196</v>
      </c>
      <c r="F18" s="0" t="s">
        <v>199</v>
      </c>
    </row>
    <row r="19" customFormat="false" ht="15" hidden="false" customHeight="false" outlineLevel="0" collapsed="false">
      <c r="A19" s="0" t="s">
        <v>200</v>
      </c>
      <c r="B19" s="26" t="n">
        <v>8</v>
      </c>
      <c r="C19" s="26" t="n">
        <v>40</v>
      </c>
      <c r="D19" s="26" t="n">
        <v>75</v>
      </c>
      <c r="E19" s="0" t="s">
        <v>196</v>
      </c>
      <c r="F19" s="0" t="s">
        <v>199</v>
      </c>
    </row>
    <row r="20" customFormat="false" ht="15" hidden="false" customHeight="false" outlineLevel="0" collapsed="false">
      <c r="A20" s="0" t="s">
        <v>201</v>
      </c>
      <c r="B20" s="26" t="n">
        <v>2</v>
      </c>
      <c r="C20" s="26" t="n">
        <v>25</v>
      </c>
      <c r="D20" s="26" t="n">
        <v>60</v>
      </c>
      <c r="E20" s="0" t="s">
        <v>196</v>
      </c>
      <c r="F20" s="0" t="s">
        <v>199</v>
      </c>
    </row>
    <row r="22" customFormat="false" ht="24.75" hidden="false" customHeight="true" outlineLevel="0" collapsed="false">
      <c r="A22" s="16" t="s">
        <v>202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customFormat="false" ht="15" hidden="false" customHeight="false" outlineLevel="0" collapsed="false">
      <c r="A23" s="0" t="s">
        <v>203</v>
      </c>
      <c r="B23" s="0" t="s">
        <v>43</v>
      </c>
      <c r="C23" s="0" t="s">
        <v>204</v>
      </c>
      <c r="D23" s="0" t="s">
        <v>205</v>
      </c>
      <c r="E23" s="0" t="s">
        <v>206</v>
      </c>
      <c r="F23" s="0" t="s">
        <v>207</v>
      </c>
      <c r="G23" s="0" t="s">
        <v>208</v>
      </c>
      <c r="H23" s="0" t="s">
        <v>51</v>
      </c>
      <c r="I23" s="0" t="s">
        <v>209</v>
      </c>
    </row>
    <row r="24" customFormat="false" ht="15" hidden="false" customHeight="false" outlineLevel="0" collapsed="false">
      <c r="A24" s="0" t="s">
        <v>210</v>
      </c>
      <c r="B24" s="0" t="s">
        <v>52</v>
      </c>
      <c r="C24" s="0" t="s">
        <v>211</v>
      </c>
      <c r="D24" s="0" t="s">
        <v>212</v>
      </c>
      <c r="E24" s="26" t="n">
        <v>10</v>
      </c>
      <c r="F24" s="26" t="n">
        <v>5.25</v>
      </c>
      <c r="G24" s="26" t="n">
        <v>52</v>
      </c>
      <c r="H24" s="0" t="s">
        <v>170</v>
      </c>
      <c r="I24" s="0" t="s">
        <v>213</v>
      </c>
    </row>
    <row r="25" customFormat="false" ht="15" hidden="false" customHeight="false" outlineLevel="0" collapsed="false">
      <c r="A25" s="0" t="s">
        <v>214</v>
      </c>
      <c r="B25" s="0" t="s">
        <v>52</v>
      </c>
      <c r="C25" s="0" t="s">
        <v>211</v>
      </c>
      <c r="D25" s="0" t="s">
        <v>215</v>
      </c>
      <c r="E25" s="26" t="n">
        <v>49</v>
      </c>
      <c r="F25" s="26" t="n">
        <v>23</v>
      </c>
      <c r="G25" s="26" t="n">
        <v>52</v>
      </c>
      <c r="H25" s="0" t="s">
        <v>216</v>
      </c>
      <c r="I25" s="0" t="s">
        <v>217</v>
      </c>
    </row>
    <row r="26" customFormat="false" ht="15" hidden="false" customHeight="false" outlineLevel="0" collapsed="false">
      <c r="A26" s="0" t="s">
        <v>218</v>
      </c>
      <c r="B26" s="0" t="s">
        <v>52</v>
      </c>
      <c r="C26" s="0" t="s">
        <v>219</v>
      </c>
      <c r="D26" s="0" t="s">
        <v>220</v>
      </c>
      <c r="E26" s="26" t="n">
        <v>10</v>
      </c>
      <c r="F26" s="26" t="n">
        <v>5.35</v>
      </c>
      <c r="G26" s="26" t="n">
        <v>52</v>
      </c>
      <c r="H26" s="0" t="s">
        <v>170</v>
      </c>
      <c r="I26" s="0" t="s">
        <v>213</v>
      </c>
    </row>
    <row r="27" customFormat="false" ht="15" hidden="false" customHeight="false" outlineLevel="0" collapsed="false">
      <c r="A27" s="0" t="s">
        <v>221</v>
      </c>
      <c r="B27" s="0" t="s">
        <v>52</v>
      </c>
      <c r="C27" s="0" t="s">
        <v>219</v>
      </c>
      <c r="D27" s="0" t="s">
        <v>215</v>
      </c>
      <c r="E27" s="26" t="n">
        <v>49</v>
      </c>
      <c r="F27" s="26" t="n">
        <v>23.5</v>
      </c>
      <c r="G27" s="26" t="n">
        <v>52</v>
      </c>
      <c r="H27" s="0" t="s">
        <v>216</v>
      </c>
      <c r="I27" s="0" t="s">
        <v>217</v>
      </c>
    </row>
    <row r="28" customFormat="false" ht="15" hidden="false" customHeight="false" outlineLevel="0" collapsed="false">
      <c r="A28" s="0" t="s">
        <v>222</v>
      </c>
      <c r="B28" s="0" t="s">
        <v>54</v>
      </c>
      <c r="C28" s="0" t="s">
        <v>223</v>
      </c>
      <c r="D28" s="0" t="s">
        <v>224</v>
      </c>
      <c r="E28" s="26" t="n">
        <v>10</v>
      </c>
      <c r="F28" s="26" t="n">
        <v>4.35</v>
      </c>
      <c r="G28" s="26" t="n">
        <v>26</v>
      </c>
      <c r="H28" s="0" t="s">
        <v>216</v>
      </c>
      <c r="I28" s="0" t="s">
        <v>225</v>
      </c>
    </row>
    <row r="29" customFormat="false" ht="15" hidden="false" customHeight="false" outlineLevel="0" collapsed="false">
      <c r="A29" s="0" t="s">
        <v>226</v>
      </c>
      <c r="B29" s="0" t="s">
        <v>54</v>
      </c>
      <c r="C29" s="0" t="s">
        <v>223</v>
      </c>
      <c r="D29" s="0" t="s">
        <v>227</v>
      </c>
      <c r="E29" s="26" t="n">
        <v>99</v>
      </c>
      <c r="F29" s="26" t="n">
        <v>44</v>
      </c>
      <c r="G29" s="26" t="n">
        <v>26</v>
      </c>
      <c r="H29" s="0" t="s">
        <v>216</v>
      </c>
      <c r="I29" s="0" t="s">
        <v>228</v>
      </c>
    </row>
    <row r="30" customFormat="false" ht="15" hidden="false" customHeight="false" outlineLevel="0" collapsed="false">
      <c r="A30" s="0" t="s">
        <v>229</v>
      </c>
      <c r="B30" s="0" t="s">
        <v>54</v>
      </c>
      <c r="C30" s="0" t="s">
        <v>230</v>
      </c>
      <c r="D30" s="0" t="s">
        <v>224</v>
      </c>
      <c r="E30" s="26" t="n">
        <v>10</v>
      </c>
      <c r="F30" s="26" t="n">
        <v>4.5</v>
      </c>
      <c r="G30" s="26" t="n">
        <v>26</v>
      </c>
      <c r="H30" s="0" t="s">
        <v>216</v>
      </c>
      <c r="I30" s="0" t="s">
        <v>231</v>
      </c>
    </row>
    <row r="31" customFormat="false" ht="15" hidden="false" customHeight="false" outlineLevel="0" collapsed="false">
      <c r="A31" s="0" t="s">
        <v>232</v>
      </c>
      <c r="B31" s="0" t="s">
        <v>54</v>
      </c>
      <c r="C31" s="0" t="s">
        <v>230</v>
      </c>
      <c r="D31" s="0" t="s">
        <v>233</v>
      </c>
      <c r="E31" s="26" t="n">
        <v>99</v>
      </c>
      <c r="F31" s="26" t="n">
        <v>45.5</v>
      </c>
      <c r="G31" s="26" t="n">
        <v>26</v>
      </c>
      <c r="H31" s="0" t="s">
        <v>216</v>
      </c>
      <c r="I31" s="0" t="s">
        <v>231</v>
      </c>
    </row>
    <row r="32" customFormat="false" ht="15" hidden="false" customHeight="false" outlineLevel="0" collapsed="false">
      <c r="A32" s="0" t="s">
        <v>234</v>
      </c>
      <c r="B32" s="0" t="s">
        <v>235</v>
      </c>
      <c r="C32" s="0" t="s">
        <v>236</v>
      </c>
      <c r="D32" s="0" t="s">
        <v>237</v>
      </c>
      <c r="E32" s="26" t="n">
        <v>10</v>
      </c>
      <c r="F32" s="26" t="n">
        <v>4.8</v>
      </c>
      <c r="G32" s="26" t="n">
        <v>52</v>
      </c>
      <c r="H32" s="0" t="s">
        <v>216</v>
      </c>
      <c r="I32" s="0" t="s">
        <v>238</v>
      </c>
    </row>
    <row r="33" customFormat="false" ht="15" hidden="false" customHeight="false" outlineLevel="0" collapsed="false">
      <c r="A33" s="0" t="s">
        <v>239</v>
      </c>
      <c r="B33" s="0" t="s">
        <v>235</v>
      </c>
      <c r="C33" s="0" t="s">
        <v>236</v>
      </c>
      <c r="D33" s="0" t="s">
        <v>240</v>
      </c>
      <c r="E33" s="26" t="n">
        <v>99</v>
      </c>
      <c r="F33" s="26" t="n">
        <v>47</v>
      </c>
      <c r="G33" s="26" t="n">
        <v>52</v>
      </c>
      <c r="H33" s="0" t="s">
        <v>216</v>
      </c>
      <c r="I33" s="0" t="s">
        <v>241</v>
      </c>
    </row>
    <row r="34" customFormat="false" ht="15" hidden="false" customHeight="false" outlineLevel="0" collapsed="false">
      <c r="A34" s="0" t="s">
        <v>242</v>
      </c>
      <c r="B34" s="0" t="s">
        <v>235</v>
      </c>
      <c r="C34" s="0" t="s">
        <v>243</v>
      </c>
      <c r="D34" s="0" t="s">
        <v>237</v>
      </c>
      <c r="E34" s="26" t="n">
        <v>10</v>
      </c>
      <c r="F34" s="26" t="n">
        <v>4.7</v>
      </c>
      <c r="G34" s="26" t="n">
        <v>52</v>
      </c>
      <c r="H34" s="0" t="s">
        <v>216</v>
      </c>
      <c r="I34" s="0" t="s">
        <v>244</v>
      </c>
    </row>
    <row r="35" customFormat="false" ht="15" hidden="false" customHeight="false" outlineLevel="0" collapsed="false">
      <c r="A35" s="0" t="s">
        <v>245</v>
      </c>
      <c r="B35" s="0" t="s">
        <v>235</v>
      </c>
      <c r="C35" s="0" t="s">
        <v>243</v>
      </c>
      <c r="D35" s="0" t="s">
        <v>240</v>
      </c>
      <c r="E35" s="26" t="n">
        <v>99</v>
      </c>
      <c r="F35" s="26" t="n">
        <v>46.5</v>
      </c>
      <c r="G35" s="26" t="n">
        <v>52</v>
      </c>
      <c r="H35" s="0" t="s">
        <v>216</v>
      </c>
      <c r="I35" s="0" t="s">
        <v>241</v>
      </c>
    </row>
    <row r="38" customFormat="false" ht="24.75" hidden="false" customHeight="true" outlineLevel="0" collapsed="false">
      <c r="A38" s="16" t="s">
        <v>246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 customFormat="false" ht="15" hidden="false" customHeight="false" outlineLevel="0" collapsed="false">
      <c r="A39" s="0" t="s">
        <v>247</v>
      </c>
      <c r="B39" s="0" t="s">
        <v>248</v>
      </c>
      <c r="C39" s="0" t="s">
        <v>249</v>
      </c>
      <c r="D39" s="0" t="s">
        <v>250</v>
      </c>
      <c r="E39" s="0" t="s">
        <v>251</v>
      </c>
      <c r="F39" s="0" t="s">
        <v>252</v>
      </c>
      <c r="G39" s="0" t="s">
        <v>253</v>
      </c>
      <c r="H39" s="0" t="s">
        <v>51</v>
      </c>
    </row>
    <row r="40" customFormat="false" ht="15" hidden="false" customHeight="false" outlineLevel="0" collapsed="false">
      <c r="A40" s="0" t="s">
        <v>254</v>
      </c>
      <c r="B40" s="28" t="n">
        <v>0.25</v>
      </c>
      <c r="C40" s="28" t="n">
        <v>0.065</v>
      </c>
      <c r="D40" s="0" t="n">
        <v>21</v>
      </c>
      <c r="E40" s="26" t="n">
        <v>1</v>
      </c>
      <c r="F40" s="26" t="n">
        <v>28</v>
      </c>
      <c r="G40" s="26" t="n">
        <v>30</v>
      </c>
      <c r="H40" s="0" t="s">
        <v>255</v>
      </c>
    </row>
    <row r="41" customFormat="false" ht="15" hidden="false" customHeight="false" outlineLevel="0" collapsed="false">
      <c r="A41" s="0" t="s">
        <v>256</v>
      </c>
      <c r="B41" s="28" t="n">
        <v>0.28</v>
      </c>
      <c r="C41" s="28" t="n">
        <v>0.14</v>
      </c>
      <c r="D41" s="0" t="n">
        <v>45</v>
      </c>
      <c r="E41" s="26" t="n">
        <v>1.7</v>
      </c>
      <c r="F41" s="26" t="n">
        <v>35</v>
      </c>
      <c r="G41" s="26" t="n">
        <v>30</v>
      </c>
      <c r="H41" s="0" t="s">
        <v>255</v>
      </c>
    </row>
    <row r="42" customFormat="false" ht="15" hidden="false" customHeight="false" outlineLevel="0" collapsed="false">
      <c r="A42" s="0" t="s">
        <v>257</v>
      </c>
      <c r="B42" s="28" t="n">
        <v>0.38</v>
      </c>
      <c r="C42" s="28" t="n">
        <v>0.24</v>
      </c>
      <c r="D42" s="0" t="n">
        <v>32</v>
      </c>
      <c r="E42" s="26" t="n">
        <v>2</v>
      </c>
      <c r="F42" s="26" t="n">
        <v>21</v>
      </c>
      <c r="G42" s="26" t="n">
        <v>30</v>
      </c>
      <c r="H42" s="0" t="s">
        <v>255</v>
      </c>
    </row>
    <row r="45" customFormat="false" ht="24.75" hidden="false" customHeight="true" outlineLevel="0" collapsed="false">
      <c r="A45" s="16" t="s">
        <v>258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customFormat="false" ht="15" hidden="false" customHeight="false" outlineLevel="0" collapsed="false">
      <c r="A46" s="0" t="s">
        <v>259</v>
      </c>
      <c r="B46" s="0" t="s">
        <v>87</v>
      </c>
      <c r="C46" s="0" t="s">
        <v>78</v>
      </c>
      <c r="D46" s="0" t="s">
        <v>79</v>
      </c>
      <c r="E46" s="0" t="s">
        <v>260</v>
      </c>
      <c r="F46" s="0" t="s">
        <v>261</v>
      </c>
    </row>
    <row r="47" customFormat="false" ht="15" hidden="false" customHeight="false" outlineLevel="0" collapsed="false">
      <c r="A47" s="0" t="s">
        <v>262</v>
      </c>
      <c r="B47" s="26" t="n">
        <v>8</v>
      </c>
      <c r="C47" s="26" t="n">
        <v>14</v>
      </c>
      <c r="D47" s="26" t="n">
        <v>13</v>
      </c>
      <c r="E47" s="29" t="n">
        <f aca="false">SUM(B47:D47)</f>
        <v>35</v>
      </c>
      <c r="F47" s="0" t="s">
        <v>263</v>
      </c>
    </row>
    <row r="48" customFormat="false" ht="15" hidden="false" customHeight="false" outlineLevel="0" collapsed="false">
      <c r="A48" s="0" t="s">
        <v>264</v>
      </c>
      <c r="B48" s="26" t="n">
        <v>4</v>
      </c>
      <c r="C48" s="26" t="n">
        <v>7</v>
      </c>
      <c r="D48" s="26" t="n">
        <v>7</v>
      </c>
      <c r="E48" s="29" t="n">
        <f aca="false">SUM(B48:D48)</f>
        <v>18</v>
      </c>
      <c r="F48" s="0" t="s">
        <v>265</v>
      </c>
    </row>
    <row r="49" customFormat="false" ht="15" hidden="false" customHeight="false" outlineLevel="0" collapsed="false">
      <c r="A49" s="0" t="s">
        <v>266</v>
      </c>
      <c r="B49" s="26" t="n">
        <v>3</v>
      </c>
      <c r="C49" s="26" t="n">
        <v>2</v>
      </c>
      <c r="D49" s="26" t="n">
        <v>2</v>
      </c>
      <c r="E49" s="29" t="n">
        <f aca="false">SUM(B49:D49)</f>
        <v>7</v>
      </c>
      <c r="F49" s="0" t="s">
        <v>267</v>
      </c>
    </row>
    <row r="50" customFormat="false" ht="15" hidden="false" customHeight="false" outlineLevel="0" collapsed="false">
      <c r="A50" s="0" t="s">
        <v>268</v>
      </c>
      <c r="B50" s="26" t="n">
        <v>1</v>
      </c>
      <c r="C50" s="26" t="n">
        <v>2</v>
      </c>
      <c r="D50" s="26" t="n">
        <v>2</v>
      </c>
      <c r="E50" s="29" t="n">
        <f aca="false">SUM(B50:D50)</f>
        <v>5</v>
      </c>
      <c r="F50" s="0" t="s">
        <v>263</v>
      </c>
    </row>
    <row r="51" customFormat="false" ht="15" hidden="false" customHeight="false" outlineLevel="0" collapsed="false">
      <c r="A51" s="0" t="s">
        <v>269</v>
      </c>
      <c r="B51" s="26" t="n">
        <v>1</v>
      </c>
      <c r="C51" s="26" t="n">
        <v>2</v>
      </c>
      <c r="D51" s="26" t="n">
        <v>2</v>
      </c>
      <c r="E51" s="29" t="n">
        <f aca="false">SUM(B51:D51)</f>
        <v>5</v>
      </c>
      <c r="F51" s="0" t="s">
        <v>270</v>
      </c>
    </row>
    <row r="52" customFormat="false" ht="15" hidden="false" customHeight="false" outlineLevel="0" collapsed="false">
      <c r="A52" s="0" t="s">
        <v>271</v>
      </c>
      <c r="B52" s="26" t="n">
        <v>1</v>
      </c>
      <c r="C52" s="26" t="n">
        <v>2</v>
      </c>
      <c r="D52" s="26" t="n">
        <v>2</v>
      </c>
      <c r="E52" s="29" t="n">
        <f aca="false">SUM(B52:D52)</f>
        <v>5</v>
      </c>
      <c r="F52" s="0" t="s">
        <v>272</v>
      </c>
    </row>
    <row r="53" customFormat="false" ht="15" hidden="false" customHeight="false" outlineLevel="0" collapsed="false">
      <c r="A53" s="30" t="s">
        <v>273</v>
      </c>
      <c r="B53" s="30" t="n">
        <f aca="false">SUM(B47:B52)</f>
        <v>18</v>
      </c>
      <c r="C53" s="30" t="n">
        <f aca="false">SUM(C47:C52)</f>
        <v>29</v>
      </c>
      <c r="D53" s="30" t="n">
        <f aca="false">SUM(D47:D52)</f>
        <v>28</v>
      </c>
      <c r="E53" s="30" t="n">
        <f aca="false">SUM(E47:E52)</f>
        <v>75</v>
      </c>
    </row>
    <row r="55" customFormat="false" ht="24.75" hidden="false" customHeight="true" outlineLevel="0" collapsed="false">
      <c r="A55" s="16" t="s">
        <v>274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</row>
    <row r="56" customFormat="false" ht="24.75" hidden="false" customHeight="true" outlineLevel="0" collapsed="false">
      <c r="A56" s="16" t="s">
        <v>275</v>
      </c>
      <c r="B56" s="16"/>
      <c r="C56" s="16"/>
      <c r="D56" s="16"/>
      <c r="E56" s="16"/>
      <c r="F56" s="16"/>
      <c r="G56" s="16"/>
      <c r="H56" s="16"/>
      <c r="I56" s="16"/>
      <c r="J56" s="16" t="s">
        <v>43</v>
      </c>
      <c r="K56" s="16" t="s">
        <v>276</v>
      </c>
      <c r="L56" s="16" t="s">
        <v>277</v>
      </c>
      <c r="M56" s="16" t="s">
        <v>278</v>
      </c>
      <c r="N56" s="0" t="s">
        <v>279</v>
      </c>
    </row>
    <row r="57" customFormat="false" ht="15" hidden="false" customHeight="false" outlineLevel="0" collapsed="false">
      <c r="A57" s="0" t="s">
        <v>280</v>
      </c>
      <c r="B57" s="0" t="s">
        <v>281</v>
      </c>
      <c r="C57" s="0" t="s">
        <v>247</v>
      </c>
      <c r="D57" s="0" t="s">
        <v>282</v>
      </c>
      <c r="E57" s="0" t="s">
        <v>283</v>
      </c>
      <c r="F57" s="0" t="s">
        <v>51</v>
      </c>
      <c r="G57" s="0" t="s">
        <v>284</v>
      </c>
      <c r="H57" s="0" t="s">
        <v>285</v>
      </c>
      <c r="J57" s="0" t="s">
        <v>52</v>
      </c>
      <c r="K57" s="27" t="n">
        <v>0.22</v>
      </c>
      <c r="L57" s="27" t="n">
        <v>0.24</v>
      </c>
      <c r="M57" s="27" t="n">
        <v>0.27</v>
      </c>
      <c r="N57" s="27" t="n">
        <v>0.27</v>
      </c>
    </row>
    <row r="58" customFormat="false" ht="15" hidden="false" customHeight="false" outlineLevel="0" collapsed="false">
      <c r="A58" s="0" t="s">
        <v>87</v>
      </c>
      <c r="B58" s="0" t="s">
        <v>210</v>
      </c>
      <c r="C58" s="0" t="s">
        <v>254</v>
      </c>
      <c r="D58" s="31" t="n">
        <v>10400</v>
      </c>
      <c r="E58" s="32" t="n">
        <v>2.58</v>
      </c>
      <c r="F58" s="0" t="s">
        <v>286</v>
      </c>
      <c r="G58" s="0" t="s">
        <v>287</v>
      </c>
      <c r="H58" s="0" t="s">
        <v>288</v>
      </c>
      <c r="J58" s="0" t="s">
        <v>54</v>
      </c>
      <c r="K58" s="27" t="n">
        <v>0.02</v>
      </c>
      <c r="L58" s="27" t="n">
        <v>0.04</v>
      </c>
      <c r="M58" s="27" t="n">
        <v>0.5</v>
      </c>
      <c r="N58" s="27" t="n">
        <v>0.44</v>
      </c>
    </row>
    <row r="59" customFormat="false" ht="15" hidden="false" customHeight="false" outlineLevel="0" collapsed="false">
      <c r="A59" s="0" t="s">
        <v>87</v>
      </c>
      <c r="B59" s="0" t="s">
        <v>210</v>
      </c>
      <c r="C59" s="0" t="s">
        <v>256</v>
      </c>
      <c r="D59" s="31" t="n">
        <v>364</v>
      </c>
      <c r="E59" s="32" t="n">
        <v>10.32</v>
      </c>
      <c r="F59" s="0" t="s">
        <v>286</v>
      </c>
      <c r="G59" s="0" t="s">
        <v>287</v>
      </c>
      <c r="H59" s="0" t="s">
        <v>288</v>
      </c>
      <c r="J59" s="0" t="s">
        <v>235</v>
      </c>
      <c r="K59" s="27" t="n">
        <v>0.22</v>
      </c>
      <c r="L59" s="27" t="n">
        <v>0.25</v>
      </c>
      <c r="M59" s="27" t="n">
        <v>0.28</v>
      </c>
      <c r="N59" s="27" t="n">
        <v>0.25</v>
      </c>
    </row>
    <row r="60" customFormat="false" ht="15" hidden="false" customHeight="false" outlineLevel="0" collapsed="false">
      <c r="A60" s="0" t="s">
        <v>87</v>
      </c>
      <c r="B60" s="0" t="s">
        <v>210</v>
      </c>
      <c r="C60" s="0" t="s">
        <v>257</v>
      </c>
      <c r="D60" s="31" t="n">
        <v>146</v>
      </c>
      <c r="E60" s="32" t="n">
        <v>30.96</v>
      </c>
      <c r="F60" s="0" t="s">
        <v>286</v>
      </c>
      <c r="G60" s="0" t="s">
        <v>287</v>
      </c>
      <c r="H60" s="0" t="s">
        <v>288</v>
      </c>
      <c r="J60" s="0" t="s">
        <v>289</v>
      </c>
      <c r="K60" s="27" t="n">
        <v>0.41</v>
      </c>
      <c r="L60" s="27" t="n">
        <v>0.23</v>
      </c>
      <c r="M60" s="27" t="n">
        <v>0.15</v>
      </c>
      <c r="N60" s="27" t="n">
        <v>0.21</v>
      </c>
    </row>
    <row r="61" customFormat="false" ht="15" hidden="false" customHeight="false" outlineLevel="0" collapsed="false">
      <c r="A61" s="0" t="s">
        <v>87</v>
      </c>
      <c r="B61" s="0" t="s">
        <v>214</v>
      </c>
      <c r="C61" s="0" t="s">
        <v>254</v>
      </c>
      <c r="D61" s="31" t="n">
        <v>12000</v>
      </c>
      <c r="E61" s="32" t="n">
        <v>3.12</v>
      </c>
      <c r="F61" s="0" t="s">
        <v>286</v>
      </c>
      <c r="G61" s="0" t="s">
        <v>287</v>
      </c>
      <c r="H61" s="0" t="s">
        <v>288</v>
      </c>
    </row>
    <row r="62" customFormat="false" ht="15" hidden="false" customHeight="false" outlineLevel="0" collapsed="false">
      <c r="A62" s="0" t="s">
        <v>87</v>
      </c>
      <c r="B62" s="0" t="s">
        <v>214</v>
      </c>
      <c r="C62" s="0" t="s">
        <v>256</v>
      </c>
      <c r="D62" s="31" t="n">
        <v>420</v>
      </c>
      <c r="E62" s="32" t="n">
        <v>12.48</v>
      </c>
      <c r="F62" s="0" t="s">
        <v>286</v>
      </c>
      <c r="G62" s="0" t="s">
        <v>287</v>
      </c>
      <c r="H62" s="0" t="s">
        <v>288</v>
      </c>
    </row>
    <row r="63" customFormat="false" ht="15" hidden="false" customHeight="false" outlineLevel="0" collapsed="false">
      <c r="A63" s="0" t="s">
        <v>87</v>
      </c>
      <c r="B63" s="0" t="s">
        <v>214</v>
      </c>
      <c r="C63" s="0" t="s">
        <v>257</v>
      </c>
      <c r="D63" s="31" t="n">
        <v>168</v>
      </c>
      <c r="E63" s="32" t="n">
        <v>37.44</v>
      </c>
      <c r="F63" s="0" t="s">
        <v>286</v>
      </c>
      <c r="G63" s="0" t="s">
        <v>287</v>
      </c>
      <c r="H63" s="0" t="s">
        <v>288</v>
      </c>
    </row>
    <row r="64" customFormat="false" ht="15" hidden="false" customHeight="false" outlineLevel="0" collapsed="false">
      <c r="A64" s="0" t="s">
        <v>87</v>
      </c>
      <c r="B64" s="0" t="s">
        <v>218</v>
      </c>
      <c r="C64" s="0" t="s">
        <v>254</v>
      </c>
      <c r="D64" s="31" t="n">
        <v>9120</v>
      </c>
      <c r="E64" s="32" t="n">
        <v>2.22</v>
      </c>
      <c r="F64" s="0" t="s">
        <v>286</v>
      </c>
      <c r="G64" s="0" t="s">
        <v>287</v>
      </c>
      <c r="H64" s="0" t="s">
        <v>288</v>
      </c>
    </row>
    <row r="65" customFormat="false" ht="15" hidden="false" customHeight="false" outlineLevel="0" collapsed="false">
      <c r="A65" s="0" t="s">
        <v>87</v>
      </c>
      <c r="B65" s="0" t="s">
        <v>218</v>
      </c>
      <c r="C65" s="0" t="s">
        <v>256</v>
      </c>
      <c r="D65" s="31" t="n">
        <v>319</v>
      </c>
      <c r="E65" s="32" t="n">
        <v>8.88</v>
      </c>
      <c r="F65" s="0" t="s">
        <v>286</v>
      </c>
      <c r="G65" s="0" t="s">
        <v>287</v>
      </c>
      <c r="H65" s="0" t="s">
        <v>288</v>
      </c>
    </row>
    <row r="66" customFormat="false" ht="15" hidden="false" customHeight="false" outlineLevel="0" collapsed="false">
      <c r="A66" s="0" t="s">
        <v>87</v>
      </c>
      <c r="B66" s="0" t="s">
        <v>218</v>
      </c>
      <c r="C66" s="0" t="s">
        <v>257</v>
      </c>
      <c r="D66" s="31" t="n">
        <v>128</v>
      </c>
      <c r="E66" s="32" t="n">
        <v>26.64</v>
      </c>
      <c r="F66" s="0" t="s">
        <v>286</v>
      </c>
      <c r="G66" s="0" t="s">
        <v>287</v>
      </c>
      <c r="H66" s="0" t="s">
        <v>288</v>
      </c>
    </row>
    <row r="67" customFormat="false" ht="15" hidden="false" customHeight="false" outlineLevel="0" collapsed="false">
      <c r="A67" s="0" t="s">
        <v>87</v>
      </c>
      <c r="B67" s="0" t="s">
        <v>221</v>
      </c>
      <c r="C67" s="0" t="s">
        <v>254</v>
      </c>
      <c r="D67" s="31" t="n">
        <v>11200</v>
      </c>
      <c r="E67" s="32" t="n">
        <v>2.64</v>
      </c>
      <c r="F67" s="0" t="s">
        <v>286</v>
      </c>
      <c r="G67" s="0" t="s">
        <v>287</v>
      </c>
      <c r="H67" s="0" t="s">
        <v>288</v>
      </c>
    </row>
    <row r="68" customFormat="false" ht="15" hidden="false" customHeight="false" outlineLevel="0" collapsed="false">
      <c r="A68" s="0" t="s">
        <v>87</v>
      </c>
      <c r="B68" s="0" t="s">
        <v>221</v>
      </c>
      <c r="C68" s="0" t="s">
        <v>256</v>
      </c>
      <c r="D68" s="31" t="n">
        <v>392</v>
      </c>
      <c r="E68" s="32" t="n">
        <v>10.56</v>
      </c>
      <c r="F68" s="0" t="s">
        <v>286</v>
      </c>
      <c r="G68" s="0" t="s">
        <v>287</v>
      </c>
      <c r="H68" s="0" t="s">
        <v>288</v>
      </c>
    </row>
    <row r="69" customFormat="false" ht="15" hidden="false" customHeight="false" outlineLevel="0" collapsed="false">
      <c r="A69" s="0" t="s">
        <v>87</v>
      </c>
      <c r="B69" s="0" t="s">
        <v>221</v>
      </c>
      <c r="C69" s="0" t="s">
        <v>257</v>
      </c>
      <c r="D69" s="31" t="n">
        <v>157</v>
      </c>
      <c r="E69" s="32" t="n">
        <v>31.68</v>
      </c>
      <c r="F69" s="0" t="s">
        <v>286</v>
      </c>
      <c r="G69" s="0" t="s">
        <v>287</v>
      </c>
      <c r="H69" s="0" t="s">
        <v>288</v>
      </c>
    </row>
    <row r="70" customFormat="false" ht="15" hidden="false" customHeight="false" outlineLevel="0" collapsed="false">
      <c r="A70" s="0" t="s">
        <v>87</v>
      </c>
      <c r="B70" s="0" t="s">
        <v>222</v>
      </c>
      <c r="C70" s="0" t="s">
        <v>254</v>
      </c>
      <c r="D70" s="31" t="n">
        <v>8320</v>
      </c>
      <c r="E70" s="32" t="n">
        <v>3.12</v>
      </c>
      <c r="F70" s="0" t="s">
        <v>286</v>
      </c>
      <c r="G70" s="0" t="s">
        <v>287</v>
      </c>
      <c r="H70" s="0" t="s">
        <v>288</v>
      </c>
    </row>
    <row r="71" customFormat="false" ht="15" hidden="false" customHeight="false" outlineLevel="0" collapsed="false">
      <c r="A71" s="0" t="s">
        <v>87</v>
      </c>
      <c r="B71" s="0" t="s">
        <v>222</v>
      </c>
      <c r="C71" s="0" t="s">
        <v>256</v>
      </c>
      <c r="D71" s="31" t="n">
        <v>291</v>
      </c>
      <c r="E71" s="32" t="n">
        <v>12.48</v>
      </c>
      <c r="F71" s="0" t="s">
        <v>286</v>
      </c>
      <c r="G71" s="0" t="s">
        <v>287</v>
      </c>
      <c r="H71" s="0" t="s">
        <v>288</v>
      </c>
    </row>
    <row r="72" customFormat="false" ht="15" hidden="false" customHeight="false" outlineLevel="0" collapsed="false">
      <c r="A72" s="0" t="s">
        <v>87</v>
      </c>
      <c r="B72" s="0" t="s">
        <v>222</v>
      </c>
      <c r="C72" s="0" t="s">
        <v>257</v>
      </c>
      <c r="D72" s="31" t="n">
        <v>116</v>
      </c>
      <c r="E72" s="32" t="n">
        <v>37.44</v>
      </c>
      <c r="F72" s="0" t="s">
        <v>286</v>
      </c>
      <c r="G72" s="0" t="s">
        <v>287</v>
      </c>
      <c r="H72" s="0" t="s">
        <v>288</v>
      </c>
    </row>
    <row r="73" customFormat="false" ht="15" hidden="false" customHeight="false" outlineLevel="0" collapsed="false">
      <c r="A73" s="0" t="s">
        <v>87</v>
      </c>
      <c r="B73" s="0" t="s">
        <v>226</v>
      </c>
      <c r="C73" s="0" t="s">
        <v>254</v>
      </c>
      <c r="D73" s="31" t="n">
        <v>6240</v>
      </c>
      <c r="E73" s="32" t="n">
        <v>2.52</v>
      </c>
      <c r="F73" s="0" t="s">
        <v>286</v>
      </c>
      <c r="G73" s="0" t="s">
        <v>287</v>
      </c>
      <c r="H73" s="0" t="s">
        <v>288</v>
      </c>
    </row>
    <row r="74" customFormat="false" ht="15" hidden="false" customHeight="false" outlineLevel="0" collapsed="false">
      <c r="A74" s="0" t="s">
        <v>87</v>
      </c>
      <c r="B74" s="0" t="s">
        <v>226</v>
      </c>
      <c r="C74" s="0" t="s">
        <v>256</v>
      </c>
      <c r="D74" s="31" t="n">
        <v>218</v>
      </c>
      <c r="E74" s="32" t="n">
        <v>10.08</v>
      </c>
      <c r="F74" s="0" t="s">
        <v>286</v>
      </c>
      <c r="G74" s="0" t="s">
        <v>287</v>
      </c>
      <c r="H74" s="0" t="s">
        <v>288</v>
      </c>
    </row>
    <row r="75" customFormat="false" ht="15" hidden="false" customHeight="false" outlineLevel="0" collapsed="false">
      <c r="A75" s="0" t="s">
        <v>87</v>
      </c>
      <c r="B75" s="0" t="s">
        <v>226</v>
      </c>
      <c r="C75" s="0" t="s">
        <v>257</v>
      </c>
      <c r="D75" s="31" t="n">
        <v>87</v>
      </c>
      <c r="E75" s="32" t="n">
        <v>30.24</v>
      </c>
      <c r="F75" s="0" t="s">
        <v>286</v>
      </c>
      <c r="G75" s="0" t="s">
        <v>287</v>
      </c>
      <c r="H75" s="0" t="s">
        <v>288</v>
      </c>
    </row>
    <row r="76" customFormat="false" ht="15" hidden="false" customHeight="false" outlineLevel="0" collapsed="false">
      <c r="A76" s="0" t="s">
        <v>87</v>
      </c>
      <c r="B76" s="0" t="s">
        <v>229</v>
      </c>
      <c r="C76" s="0" t="s">
        <v>254</v>
      </c>
      <c r="D76" s="31" t="n">
        <v>6720</v>
      </c>
      <c r="E76" s="32" t="n">
        <v>2.16</v>
      </c>
      <c r="F76" s="0" t="s">
        <v>286</v>
      </c>
      <c r="G76" s="0" t="s">
        <v>287</v>
      </c>
      <c r="H76" s="0" t="s">
        <v>288</v>
      </c>
    </row>
    <row r="77" customFormat="false" ht="15" hidden="false" customHeight="false" outlineLevel="0" collapsed="false">
      <c r="A77" s="0" t="s">
        <v>87</v>
      </c>
      <c r="B77" s="0" t="s">
        <v>229</v>
      </c>
      <c r="C77" s="0" t="s">
        <v>256</v>
      </c>
      <c r="D77" s="31" t="n">
        <v>235</v>
      </c>
      <c r="E77" s="32" t="n">
        <v>8.64</v>
      </c>
      <c r="F77" s="0" t="s">
        <v>286</v>
      </c>
      <c r="G77" s="0" t="s">
        <v>287</v>
      </c>
      <c r="H77" s="0" t="s">
        <v>288</v>
      </c>
    </row>
    <row r="78" customFormat="false" ht="15" hidden="false" customHeight="false" outlineLevel="0" collapsed="false">
      <c r="A78" s="0" t="s">
        <v>87</v>
      </c>
      <c r="B78" s="0" t="s">
        <v>229</v>
      </c>
      <c r="C78" s="0" t="s">
        <v>257</v>
      </c>
      <c r="D78" s="31" t="n">
        <v>94</v>
      </c>
      <c r="E78" s="32" t="n">
        <v>25.92</v>
      </c>
      <c r="F78" s="0" t="s">
        <v>286</v>
      </c>
      <c r="G78" s="0" t="s">
        <v>287</v>
      </c>
      <c r="H78" s="0" t="s">
        <v>288</v>
      </c>
    </row>
    <row r="79" customFormat="false" ht="15" hidden="false" customHeight="false" outlineLevel="0" collapsed="false">
      <c r="A79" s="0" t="s">
        <v>87</v>
      </c>
      <c r="B79" s="0" t="s">
        <v>232</v>
      </c>
      <c r="C79" s="0" t="s">
        <v>254</v>
      </c>
      <c r="D79" s="31" t="n">
        <v>5440</v>
      </c>
      <c r="E79" s="32" t="n">
        <v>1.98</v>
      </c>
      <c r="F79" s="0" t="s">
        <v>286</v>
      </c>
      <c r="G79" s="0" t="s">
        <v>287</v>
      </c>
      <c r="H79" s="0" t="s">
        <v>288</v>
      </c>
    </row>
    <row r="80" customFormat="false" ht="15" hidden="false" customHeight="false" outlineLevel="0" collapsed="false">
      <c r="A80" s="0" t="s">
        <v>87</v>
      </c>
      <c r="B80" s="0" t="s">
        <v>232</v>
      </c>
      <c r="C80" s="0" t="s">
        <v>256</v>
      </c>
      <c r="D80" s="31" t="n">
        <v>190</v>
      </c>
      <c r="E80" s="32" t="n">
        <v>7.92</v>
      </c>
      <c r="F80" s="0" t="s">
        <v>286</v>
      </c>
      <c r="G80" s="0" t="s">
        <v>287</v>
      </c>
      <c r="H80" s="0" t="s">
        <v>288</v>
      </c>
    </row>
    <row r="81" customFormat="false" ht="15" hidden="false" customHeight="false" outlineLevel="0" collapsed="false">
      <c r="A81" s="0" t="s">
        <v>87</v>
      </c>
      <c r="B81" s="0" t="s">
        <v>232</v>
      </c>
      <c r="C81" s="0" t="s">
        <v>257</v>
      </c>
      <c r="D81" s="31" t="n">
        <v>76</v>
      </c>
      <c r="E81" s="32" t="n">
        <v>23.76</v>
      </c>
      <c r="F81" s="0" t="s">
        <v>286</v>
      </c>
      <c r="G81" s="0" t="s">
        <v>287</v>
      </c>
      <c r="H81" s="0" t="s">
        <v>288</v>
      </c>
    </row>
    <row r="82" customFormat="false" ht="15" hidden="false" customHeight="false" outlineLevel="0" collapsed="false">
      <c r="A82" s="0" t="s">
        <v>87</v>
      </c>
      <c r="B82" s="0" t="s">
        <v>234</v>
      </c>
      <c r="C82" s="0" t="s">
        <v>254</v>
      </c>
      <c r="D82" s="31" t="n">
        <v>6880</v>
      </c>
      <c r="E82" s="32" t="n">
        <v>1.74</v>
      </c>
      <c r="F82" s="0" t="s">
        <v>286</v>
      </c>
      <c r="G82" s="0" t="s">
        <v>287</v>
      </c>
      <c r="H82" s="0" t="s">
        <v>288</v>
      </c>
    </row>
    <row r="83" customFormat="false" ht="15" hidden="false" customHeight="false" outlineLevel="0" collapsed="false">
      <c r="A83" s="0" t="s">
        <v>87</v>
      </c>
      <c r="B83" s="0" t="s">
        <v>234</v>
      </c>
      <c r="C83" s="0" t="s">
        <v>256</v>
      </c>
      <c r="D83" s="31" t="n">
        <v>241</v>
      </c>
      <c r="E83" s="32" t="n">
        <v>6.96</v>
      </c>
      <c r="F83" s="0" t="s">
        <v>286</v>
      </c>
      <c r="G83" s="0" t="s">
        <v>287</v>
      </c>
      <c r="H83" s="0" t="s">
        <v>288</v>
      </c>
    </row>
    <row r="84" customFormat="false" ht="15" hidden="false" customHeight="false" outlineLevel="0" collapsed="false">
      <c r="A84" s="0" t="s">
        <v>87</v>
      </c>
      <c r="B84" s="0" t="s">
        <v>234</v>
      </c>
      <c r="C84" s="0" t="s">
        <v>257</v>
      </c>
      <c r="D84" s="31" t="n">
        <v>96</v>
      </c>
      <c r="E84" s="32" t="n">
        <v>20.88</v>
      </c>
      <c r="F84" s="0" t="s">
        <v>286</v>
      </c>
      <c r="G84" s="0" t="s">
        <v>287</v>
      </c>
      <c r="H84" s="0" t="s">
        <v>288</v>
      </c>
    </row>
    <row r="85" customFormat="false" ht="15" hidden="false" customHeight="false" outlineLevel="0" collapsed="false">
      <c r="A85" s="0" t="s">
        <v>87</v>
      </c>
      <c r="B85" s="0" t="s">
        <v>239</v>
      </c>
      <c r="C85" s="0" t="s">
        <v>254</v>
      </c>
      <c r="D85" s="31" t="n">
        <v>5280</v>
      </c>
      <c r="E85" s="32" t="n">
        <v>1.32</v>
      </c>
      <c r="F85" s="0" t="s">
        <v>286</v>
      </c>
      <c r="G85" s="0" t="s">
        <v>287</v>
      </c>
      <c r="H85" s="0" t="s">
        <v>288</v>
      </c>
    </row>
    <row r="86" customFormat="false" ht="15" hidden="false" customHeight="false" outlineLevel="0" collapsed="false">
      <c r="A86" s="0" t="s">
        <v>87</v>
      </c>
      <c r="B86" s="0" t="s">
        <v>239</v>
      </c>
      <c r="C86" s="0" t="s">
        <v>256</v>
      </c>
      <c r="D86" s="31" t="n">
        <v>185</v>
      </c>
      <c r="E86" s="32" t="n">
        <v>5.28</v>
      </c>
      <c r="F86" s="0" t="s">
        <v>286</v>
      </c>
      <c r="G86" s="0" t="s">
        <v>287</v>
      </c>
      <c r="H86" s="0" t="s">
        <v>288</v>
      </c>
    </row>
    <row r="87" customFormat="false" ht="15" hidden="false" customHeight="false" outlineLevel="0" collapsed="false">
      <c r="A87" s="0" t="s">
        <v>87</v>
      </c>
      <c r="B87" s="0" t="s">
        <v>239</v>
      </c>
      <c r="C87" s="0" t="s">
        <v>257</v>
      </c>
      <c r="D87" s="31" t="n">
        <v>74</v>
      </c>
      <c r="E87" s="32" t="n">
        <v>15.84</v>
      </c>
      <c r="F87" s="0" t="s">
        <v>286</v>
      </c>
      <c r="G87" s="0" t="s">
        <v>287</v>
      </c>
      <c r="H87" s="0" t="s">
        <v>288</v>
      </c>
    </row>
    <row r="88" customFormat="false" ht="15" hidden="false" customHeight="false" outlineLevel="0" collapsed="false">
      <c r="A88" s="0" t="s">
        <v>87</v>
      </c>
      <c r="B88" s="0" t="s">
        <v>242</v>
      </c>
      <c r="C88" s="0" t="s">
        <v>254</v>
      </c>
      <c r="D88" s="31" t="n">
        <v>6720</v>
      </c>
      <c r="E88" s="32" t="n">
        <v>1.62</v>
      </c>
      <c r="F88" s="0" t="s">
        <v>286</v>
      </c>
      <c r="G88" s="0" t="s">
        <v>287</v>
      </c>
      <c r="H88" s="0" t="s">
        <v>288</v>
      </c>
    </row>
    <row r="89" customFormat="false" ht="15" hidden="false" customHeight="false" outlineLevel="0" collapsed="false">
      <c r="A89" s="0" t="s">
        <v>87</v>
      </c>
      <c r="B89" s="0" t="s">
        <v>242</v>
      </c>
      <c r="C89" s="0" t="s">
        <v>256</v>
      </c>
      <c r="D89" s="31" t="n">
        <v>235</v>
      </c>
      <c r="E89" s="32" t="n">
        <v>6.48</v>
      </c>
      <c r="F89" s="0" t="s">
        <v>286</v>
      </c>
      <c r="G89" s="0" t="s">
        <v>287</v>
      </c>
      <c r="H89" s="0" t="s">
        <v>288</v>
      </c>
    </row>
    <row r="90" customFormat="false" ht="15" hidden="false" customHeight="false" outlineLevel="0" collapsed="false">
      <c r="A90" s="0" t="s">
        <v>87</v>
      </c>
      <c r="B90" s="0" t="s">
        <v>242</v>
      </c>
      <c r="C90" s="0" t="s">
        <v>257</v>
      </c>
      <c r="D90" s="31" t="n">
        <v>94</v>
      </c>
      <c r="E90" s="32" t="n">
        <v>19.44</v>
      </c>
      <c r="F90" s="0" t="s">
        <v>286</v>
      </c>
      <c r="G90" s="0" t="s">
        <v>287</v>
      </c>
      <c r="H90" s="0" t="s">
        <v>288</v>
      </c>
    </row>
    <row r="91" customFormat="false" ht="15" hidden="false" customHeight="false" outlineLevel="0" collapsed="false">
      <c r="A91" s="0" t="s">
        <v>87</v>
      </c>
      <c r="B91" s="0" t="s">
        <v>245</v>
      </c>
      <c r="C91" s="0" t="s">
        <v>254</v>
      </c>
      <c r="D91" s="31" t="n">
        <v>5920</v>
      </c>
      <c r="E91" s="32" t="n">
        <v>1.32</v>
      </c>
      <c r="F91" s="0" t="s">
        <v>286</v>
      </c>
      <c r="G91" s="0" t="s">
        <v>287</v>
      </c>
      <c r="H91" s="0" t="s">
        <v>288</v>
      </c>
    </row>
    <row r="92" customFormat="false" ht="15" hidden="false" customHeight="false" outlineLevel="0" collapsed="false">
      <c r="A92" s="0" t="s">
        <v>87</v>
      </c>
      <c r="B92" s="0" t="s">
        <v>245</v>
      </c>
      <c r="C92" s="0" t="s">
        <v>256</v>
      </c>
      <c r="D92" s="31" t="n">
        <v>207</v>
      </c>
      <c r="E92" s="32" t="n">
        <v>5.28</v>
      </c>
      <c r="F92" s="0" t="s">
        <v>286</v>
      </c>
      <c r="G92" s="0" t="s">
        <v>287</v>
      </c>
      <c r="H92" s="0" t="s">
        <v>288</v>
      </c>
    </row>
    <row r="93" customFormat="false" ht="15" hidden="false" customHeight="false" outlineLevel="0" collapsed="false">
      <c r="A93" s="0" t="s">
        <v>87</v>
      </c>
      <c r="B93" s="0" t="s">
        <v>245</v>
      </c>
      <c r="C93" s="0" t="s">
        <v>257</v>
      </c>
      <c r="D93" s="31" t="n">
        <v>83</v>
      </c>
      <c r="E93" s="32" t="n">
        <v>15.84</v>
      </c>
      <c r="F93" s="0" t="s">
        <v>286</v>
      </c>
      <c r="G93" s="0" t="s">
        <v>287</v>
      </c>
      <c r="H93" s="0" t="s">
        <v>288</v>
      </c>
    </row>
    <row r="94" customFormat="false" ht="15" hidden="false" customHeight="false" outlineLevel="0" collapsed="false">
      <c r="A94" s="0" t="s">
        <v>78</v>
      </c>
      <c r="B94" s="0" t="s">
        <v>210</v>
      </c>
      <c r="C94" s="0" t="s">
        <v>254</v>
      </c>
      <c r="D94" s="31" t="n">
        <v>36400</v>
      </c>
      <c r="E94" s="32" t="n">
        <v>3.78</v>
      </c>
      <c r="F94" s="0" t="s">
        <v>286</v>
      </c>
      <c r="G94" s="0" t="s">
        <v>287</v>
      </c>
      <c r="H94" s="0" t="s">
        <v>288</v>
      </c>
    </row>
    <row r="95" customFormat="false" ht="15" hidden="false" customHeight="false" outlineLevel="0" collapsed="false">
      <c r="A95" s="0" t="s">
        <v>78</v>
      </c>
      <c r="B95" s="0" t="s">
        <v>210</v>
      </c>
      <c r="C95" s="0" t="s">
        <v>256</v>
      </c>
      <c r="D95" s="31" t="n">
        <v>1274</v>
      </c>
      <c r="E95" s="32" t="n">
        <v>15.14</v>
      </c>
      <c r="F95" s="0" t="s">
        <v>286</v>
      </c>
      <c r="G95" s="0" t="s">
        <v>287</v>
      </c>
      <c r="H95" s="0" t="s">
        <v>288</v>
      </c>
    </row>
    <row r="96" customFormat="false" ht="15" hidden="false" customHeight="false" outlineLevel="0" collapsed="false">
      <c r="A96" s="0" t="s">
        <v>78</v>
      </c>
      <c r="B96" s="0" t="s">
        <v>210</v>
      </c>
      <c r="C96" s="0" t="s">
        <v>257</v>
      </c>
      <c r="D96" s="31" t="n">
        <v>510</v>
      </c>
      <c r="E96" s="32" t="n">
        <v>45.41</v>
      </c>
      <c r="F96" s="0" t="s">
        <v>286</v>
      </c>
      <c r="G96" s="0" t="s">
        <v>287</v>
      </c>
      <c r="H96" s="0" t="s">
        <v>288</v>
      </c>
    </row>
    <row r="97" customFormat="false" ht="15" hidden="false" customHeight="false" outlineLevel="0" collapsed="false">
      <c r="A97" s="0" t="s">
        <v>78</v>
      </c>
      <c r="B97" s="0" t="s">
        <v>214</v>
      </c>
      <c r="C97" s="0" t="s">
        <v>254</v>
      </c>
      <c r="D97" s="31" t="n">
        <v>42000</v>
      </c>
      <c r="E97" s="32" t="n">
        <v>4.58</v>
      </c>
      <c r="F97" s="0" t="s">
        <v>286</v>
      </c>
      <c r="G97" s="0" t="s">
        <v>287</v>
      </c>
      <c r="H97" s="0" t="s">
        <v>288</v>
      </c>
    </row>
    <row r="98" customFormat="false" ht="15" hidden="false" customHeight="false" outlineLevel="0" collapsed="false">
      <c r="A98" s="0" t="s">
        <v>78</v>
      </c>
      <c r="B98" s="0" t="s">
        <v>214</v>
      </c>
      <c r="C98" s="0" t="s">
        <v>256</v>
      </c>
      <c r="D98" s="31" t="n">
        <v>1470</v>
      </c>
      <c r="E98" s="32" t="n">
        <v>18.3</v>
      </c>
      <c r="F98" s="0" t="s">
        <v>286</v>
      </c>
      <c r="G98" s="0" t="s">
        <v>287</v>
      </c>
      <c r="H98" s="0" t="s">
        <v>288</v>
      </c>
    </row>
    <row r="99" customFormat="false" ht="15" hidden="false" customHeight="false" outlineLevel="0" collapsed="false">
      <c r="A99" s="0" t="s">
        <v>78</v>
      </c>
      <c r="B99" s="0" t="s">
        <v>214</v>
      </c>
      <c r="C99" s="0" t="s">
        <v>257</v>
      </c>
      <c r="D99" s="31" t="n">
        <v>588</v>
      </c>
      <c r="E99" s="32" t="n">
        <v>54.91</v>
      </c>
      <c r="F99" s="0" t="s">
        <v>286</v>
      </c>
      <c r="G99" s="0" t="s">
        <v>287</v>
      </c>
      <c r="H99" s="0" t="s">
        <v>288</v>
      </c>
    </row>
    <row r="100" customFormat="false" ht="15" hidden="false" customHeight="false" outlineLevel="0" collapsed="false">
      <c r="A100" s="0" t="s">
        <v>78</v>
      </c>
      <c r="B100" s="0" t="s">
        <v>218</v>
      </c>
      <c r="C100" s="0" t="s">
        <v>254</v>
      </c>
      <c r="D100" s="31" t="n">
        <v>31920</v>
      </c>
      <c r="E100" s="32" t="n">
        <v>3.26</v>
      </c>
      <c r="F100" s="0" t="s">
        <v>286</v>
      </c>
      <c r="G100" s="0" t="s">
        <v>287</v>
      </c>
      <c r="H100" s="0" t="s">
        <v>288</v>
      </c>
    </row>
    <row r="101" customFormat="false" ht="15" hidden="false" customHeight="false" outlineLevel="0" collapsed="false">
      <c r="A101" s="0" t="s">
        <v>78</v>
      </c>
      <c r="B101" s="0" t="s">
        <v>218</v>
      </c>
      <c r="C101" s="0" t="s">
        <v>256</v>
      </c>
      <c r="D101" s="31" t="n">
        <v>1117</v>
      </c>
      <c r="E101" s="32" t="n">
        <v>13.02</v>
      </c>
      <c r="F101" s="0" t="s">
        <v>286</v>
      </c>
      <c r="G101" s="0" t="s">
        <v>287</v>
      </c>
      <c r="H101" s="0" t="s">
        <v>288</v>
      </c>
    </row>
    <row r="102" customFormat="false" ht="15" hidden="false" customHeight="false" outlineLevel="0" collapsed="false">
      <c r="A102" s="0" t="s">
        <v>78</v>
      </c>
      <c r="B102" s="0" t="s">
        <v>218</v>
      </c>
      <c r="C102" s="0" t="s">
        <v>257</v>
      </c>
      <c r="D102" s="31" t="n">
        <v>447</v>
      </c>
      <c r="E102" s="32" t="n">
        <v>39.07</v>
      </c>
      <c r="F102" s="0" t="s">
        <v>286</v>
      </c>
      <c r="G102" s="0" t="s">
        <v>287</v>
      </c>
      <c r="H102" s="0" t="s">
        <v>288</v>
      </c>
    </row>
    <row r="103" customFormat="false" ht="15" hidden="false" customHeight="false" outlineLevel="0" collapsed="false">
      <c r="A103" s="0" t="s">
        <v>78</v>
      </c>
      <c r="B103" s="0" t="s">
        <v>221</v>
      </c>
      <c r="C103" s="0" t="s">
        <v>254</v>
      </c>
      <c r="D103" s="31" t="n">
        <v>39200</v>
      </c>
      <c r="E103" s="32" t="n">
        <v>3.87</v>
      </c>
      <c r="F103" s="0" t="s">
        <v>286</v>
      </c>
      <c r="G103" s="0" t="s">
        <v>287</v>
      </c>
      <c r="H103" s="0" t="s">
        <v>288</v>
      </c>
    </row>
    <row r="104" customFormat="false" ht="15" hidden="false" customHeight="false" outlineLevel="0" collapsed="false">
      <c r="A104" s="0" t="s">
        <v>78</v>
      </c>
      <c r="B104" s="0" t="s">
        <v>221</v>
      </c>
      <c r="C104" s="0" t="s">
        <v>256</v>
      </c>
      <c r="D104" s="31" t="n">
        <v>1372</v>
      </c>
      <c r="E104" s="32" t="n">
        <v>15.49</v>
      </c>
      <c r="F104" s="0" t="s">
        <v>286</v>
      </c>
      <c r="G104" s="0" t="s">
        <v>287</v>
      </c>
      <c r="H104" s="0" t="s">
        <v>288</v>
      </c>
    </row>
    <row r="105" customFormat="false" ht="15" hidden="false" customHeight="false" outlineLevel="0" collapsed="false">
      <c r="A105" s="0" t="s">
        <v>78</v>
      </c>
      <c r="B105" s="0" t="s">
        <v>221</v>
      </c>
      <c r="C105" s="0" t="s">
        <v>257</v>
      </c>
      <c r="D105" s="31" t="n">
        <v>549</v>
      </c>
      <c r="E105" s="32" t="n">
        <v>46.46</v>
      </c>
      <c r="F105" s="0" t="s">
        <v>286</v>
      </c>
      <c r="G105" s="0" t="s">
        <v>287</v>
      </c>
      <c r="H105" s="0" t="s">
        <v>288</v>
      </c>
    </row>
    <row r="106" customFormat="false" ht="15" hidden="false" customHeight="false" outlineLevel="0" collapsed="false">
      <c r="A106" s="0" t="s">
        <v>78</v>
      </c>
      <c r="B106" s="0" t="s">
        <v>222</v>
      </c>
      <c r="C106" s="0" t="s">
        <v>254</v>
      </c>
      <c r="D106" s="31" t="n">
        <v>29120</v>
      </c>
      <c r="E106" s="32" t="n">
        <v>4.58</v>
      </c>
      <c r="F106" s="0" t="s">
        <v>286</v>
      </c>
      <c r="G106" s="0" t="s">
        <v>287</v>
      </c>
      <c r="H106" s="0" t="s">
        <v>288</v>
      </c>
    </row>
    <row r="107" customFormat="false" ht="15" hidden="false" customHeight="false" outlineLevel="0" collapsed="false">
      <c r="A107" s="0" t="s">
        <v>78</v>
      </c>
      <c r="B107" s="0" t="s">
        <v>222</v>
      </c>
      <c r="C107" s="0" t="s">
        <v>256</v>
      </c>
      <c r="D107" s="31" t="n">
        <v>1019</v>
      </c>
      <c r="E107" s="32" t="n">
        <v>18.3</v>
      </c>
      <c r="F107" s="0" t="s">
        <v>286</v>
      </c>
      <c r="G107" s="0" t="s">
        <v>287</v>
      </c>
      <c r="H107" s="0" t="s">
        <v>288</v>
      </c>
    </row>
    <row r="108" customFormat="false" ht="15" hidden="false" customHeight="false" outlineLevel="0" collapsed="false">
      <c r="A108" s="0" t="s">
        <v>78</v>
      </c>
      <c r="B108" s="0" t="s">
        <v>222</v>
      </c>
      <c r="C108" s="0" t="s">
        <v>257</v>
      </c>
      <c r="D108" s="31" t="n">
        <v>408</v>
      </c>
      <c r="E108" s="32" t="n">
        <v>54.91</v>
      </c>
      <c r="F108" s="0" t="s">
        <v>286</v>
      </c>
      <c r="G108" s="0" t="s">
        <v>287</v>
      </c>
      <c r="H108" s="0" t="s">
        <v>288</v>
      </c>
    </row>
    <row r="109" customFormat="false" ht="15" hidden="false" customHeight="false" outlineLevel="0" collapsed="false">
      <c r="A109" s="0" t="s">
        <v>78</v>
      </c>
      <c r="B109" s="0" t="s">
        <v>226</v>
      </c>
      <c r="C109" s="0" t="s">
        <v>254</v>
      </c>
      <c r="D109" s="31" t="n">
        <v>21840</v>
      </c>
      <c r="E109" s="32" t="n">
        <v>3.7</v>
      </c>
      <c r="F109" s="0" t="s">
        <v>286</v>
      </c>
      <c r="G109" s="0" t="s">
        <v>287</v>
      </c>
      <c r="H109" s="0" t="s">
        <v>288</v>
      </c>
    </row>
    <row r="110" customFormat="false" ht="15" hidden="false" customHeight="false" outlineLevel="0" collapsed="false">
      <c r="A110" s="0" t="s">
        <v>78</v>
      </c>
      <c r="B110" s="0" t="s">
        <v>226</v>
      </c>
      <c r="C110" s="0" t="s">
        <v>256</v>
      </c>
      <c r="D110" s="31" t="n">
        <v>764</v>
      </c>
      <c r="E110" s="32" t="n">
        <v>14.78</v>
      </c>
      <c r="F110" s="0" t="s">
        <v>286</v>
      </c>
      <c r="G110" s="0" t="s">
        <v>287</v>
      </c>
      <c r="H110" s="0" t="s">
        <v>288</v>
      </c>
    </row>
    <row r="111" customFormat="false" ht="15" hidden="false" customHeight="false" outlineLevel="0" collapsed="false">
      <c r="A111" s="0" t="s">
        <v>78</v>
      </c>
      <c r="B111" s="0" t="s">
        <v>226</v>
      </c>
      <c r="C111" s="0" t="s">
        <v>257</v>
      </c>
      <c r="D111" s="31" t="n">
        <v>306</v>
      </c>
      <c r="E111" s="32" t="n">
        <v>44.35</v>
      </c>
      <c r="F111" s="0" t="s">
        <v>286</v>
      </c>
      <c r="G111" s="0" t="s">
        <v>287</v>
      </c>
      <c r="H111" s="0" t="s">
        <v>288</v>
      </c>
    </row>
    <row r="112" customFormat="false" ht="15" hidden="false" customHeight="false" outlineLevel="0" collapsed="false">
      <c r="A112" s="0" t="s">
        <v>78</v>
      </c>
      <c r="B112" s="0" t="s">
        <v>229</v>
      </c>
      <c r="C112" s="0" t="s">
        <v>254</v>
      </c>
      <c r="D112" s="31" t="n">
        <v>23520</v>
      </c>
      <c r="E112" s="32" t="n">
        <v>3.17</v>
      </c>
      <c r="F112" s="0" t="s">
        <v>286</v>
      </c>
      <c r="G112" s="0" t="s">
        <v>287</v>
      </c>
      <c r="H112" s="0" t="s">
        <v>288</v>
      </c>
    </row>
    <row r="113" customFormat="false" ht="15" hidden="false" customHeight="false" outlineLevel="0" collapsed="false">
      <c r="A113" s="0" t="s">
        <v>78</v>
      </c>
      <c r="B113" s="0" t="s">
        <v>229</v>
      </c>
      <c r="C113" s="0" t="s">
        <v>256</v>
      </c>
      <c r="D113" s="31" t="n">
        <v>823</v>
      </c>
      <c r="E113" s="32" t="n">
        <v>12.67</v>
      </c>
      <c r="F113" s="0" t="s">
        <v>286</v>
      </c>
      <c r="G113" s="0" t="s">
        <v>287</v>
      </c>
      <c r="H113" s="0" t="s">
        <v>288</v>
      </c>
    </row>
    <row r="114" customFormat="false" ht="15" hidden="false" customHeight="false" outlineLevel="0" collapsed="false">
      <c r="A114" s="0" t="s">
        <v>78</v>
      </c>
      <c r="B114" s="0" t="s">
        <v>229</v>
      </c>
      <c r="C114" s="0" t="s">
        <v>257</v>
      </c>
      <c r="D114" s="31" t="n">
        <v>329</v>
      </c>
      <c r="E114" s="32" t="n">
        <v>38.02</v>
      </c>
      <c r="F114" s="0" t="s">
        <v>286</v>
      </c>
      <c r="G114" s="0" t="s">
        <v>287</v>
      </c>
      <c r="H114" s="0" t="s">
        <v>288</v>
      </c>
    </row>
    <row r="115" customFormat="false" ht="15" hidden="false" customHeight="false" outlineLevel="0" collapsed="false">
      <c r="A115" s="0" t="s">
        <v>78</v>
      </c>
      <c r="B115" s="0" t="s">
        <v>232</v>
      </c>
      <c r="C115" s="0" t="s">
        <v>254</v>
      </c>
      <c r="D115" s="31" t="n">
        <v>19040</v>
      </c>
      <c r="E115" s="32" t="n">
        <v>2.9</v>
      </c>
      <c r="F115" s="0" t="s">
        <v>286</v>
      </c>
      <c r="G115" s="0" t="s">
        <v>287</v>
      </c>
      <c r="H115" s="0" t="s">
        <v>288</v>
      </c>
    </row>
    <row r="116" customFormat="false" ht="15" hidden="false" customHeight="false" outlineLevel="0" collapsed="false">
      <c r="A116" s="0" t="s">
        <v>78</v>
      </c>
      <c r="B116" s="0" t="s">
        <v>232</v>
      </c>
      <c r="C116" s="0" t="s">
        <v>256</v>
      </c>
      <c r="D116" s="31" t="n">
        <v>666</v>
      </c>
      <c r="E116" s="32" t="n">
        <v>11.62</v>
      </c>
      <c r="F116" s="0" t="s">
        <v>286</v>
      </c>
      <c r="G116" s="0" t="s">
        <v>287</v>
      </c>
      <c r="H116" s="0" t="s">
        <v>288</v>
      </c>
    </row>
    <row r="117" customFormat="false" ht="15" hidden="false" customHeight="false" outlineLevel="0" collapsed="false">
      <c r="A117" s="0" t="s">
        <v>78</v>
      </c>
      <c r="B117" s="0" t="s">
        <v>232</v>
      </c>
      <c r="C117" s="0" t="s">
        <v>257</v>
      </c>
      <c r="D117" s="31" t="n">
        <v>267</v>
      </c>
      <c r="E117" s="32" t="n">
        <v>34.85</v>
      </c>
      <c r="F117" s="0" t="s">
        <v>286</v>
      </c>
      <c r="G117" s="0" t="s">
        <v>287</v>
      </c>
      <c r="H117" s="0" t="s">
        <v>288</v>
      </c>
    </row>
    <row r="118" customFormat="false" ht="15" hidden="false" customHeight="false" outlineLevel="0" collapsed="false">
      <c r="A118" s="0" t="s">
        <v>78</v>
      </c>
      <c r="B118" s="0" t="s">
        <v>234</v>
      </c>
      <c r="C118" s="0" t="s">
        <v>254</v>
      </c>
      <c r="D118" s="31" t="n">
        <v>24080</v>
      </c>
      <c r="E118" s="32" t="n">
        <v>2.55</v>
      </c>
      <c r="F118" s="0" t="s">
        <v>286</v>
      </c>
      <c r="G118" s="0" t="s">
        <v>287</v>
      </c>
      <c r="H118" s="0" t="s">
        <v>288</v>
      </c>
    </row>
    <row r="119" customFormat="false" ht="15" hidden="false" customHeight="false" outlineLevel="0" collapsed="false">
      <c r="A119" s="0" t="s">
        <v>78</v>
      </c>
      <c r="B119" s="0" t="s">
        <v>234</v>
      </c>
      <c r="C119" s="0" t="s">
        <v>256</v>
      </c>
      <c r="D119" s="31" t="n">
        <v>843</v>
      </c>
      <c r="E119" s="32" t="n">
        <v>10.21</v>
      </c>
      <c r="F119" s="0" t="s">
        <v>286</v>
      </c>
      <c r="G119" s="0" t="s">
        <v>287</v>
      </c>
      <c r="H119" s="0" t="s">
        <v>288</v>
      </c>
    </row>
    <row r="120" customFormat="false" ht="15" hidden="false" customHeight="false" outlineLevel="0" collapsed="false">
      <c r="A120" s="0" t="s">
        <v>78</v>
      </c>
      <c r="B120" s="0" t="s">
        <v>234</v>
      </c>
      <c r="C120" s="0" t="s">
        <v>257</v>
      </c>
      <c r="D120" s="31" t="n">
        <v>337</v>
      </c>
      <c r="E120" s="32" t="n">
        <v>30.62</v>
      </c>
      <c r="F120" s="0" t="s">
        <v>286</v>
      </c>
      <c r="G120" s="0" t="s">
        <v>287</v>
      </c>
      <c r="H120" s="0" t="s">
        <v>288</v>
      </c>
    </row>
    <row r="121" customFormat="false" ht="15" hidden="false" customHeight="false" outlineLevel="0" collapsed="false">
      <c r="A121" s="0" t="s">
        <v>78</v>
      </c>
      <c r="B121" s="0" t="s">
        <v>239</v>
      </c>
      <c r="C121" s="0" t="s">
        <v>254</v>
      </c>
      <c r="D121" s="31" t="n">
        <v>18480</v>
      </c>
      <c r="E121" s="32" t="n">
        <v>1.94</v>
      </c>
      <c r="F121" s="0" t="s">
        <v>286</v>
      </c>
      <c r="G121" s="0" t="s">
        <v>287</v>
      </c>
      <c r="H121" s="0" t="s">
        <v>288</v>
      </c>
    </row>
    <row r="122" customFormat="false" ht="15" hidden="false" customHeight="false" outlineLevel="0" collapsed="false">
      <c r="A122" s="0" t="s">
        <v>78</v>
      </c>
      <c r="B122" s="0" t="s">
        <v>239</v>
      </c>
      <c r="C122" s="0" t="s">
        <v>256</v>
      </c>
      <c r="D122" s="31" t="n">
        <v>647</v>
      </c>
      <c r="E122" s="32" t="n">
        <v>7.74</v>
      </c>
      <c r="F122" s="0" t="s">
        <v>286</v>
      </c>
      <c r="G122" s="0" t="s">
        <v>287</v>
      </c>
      <c r="H122" s="0" t="s">
        <v>288</v>
      </c>
    </row>
    <row r="123" customFormat="false" ht="15" hidden="false" customHeight="false" outlineLevel="0" collapsed="false">
      <c r="A123" s="0" t="s">
        <v>78</v>
      </c>
      <c r="B123" s="0" t="s">
        <v>239</v>
      </c>
      <c r="C123" s="0" t="s">
        <v>257</v>
      </c>
      <c r="D123" s="31" t="n">
        <v>259</v>
      </c>
      <c r="E123" s="32" t="n">
        <v>23.23</v>
      </c>
      <c r="F123" s="0" t="s">
        <v>286</v>
      </c>
      <c r="G123" s="0" t="s">
        <v>287</v>
      </c>
      <c r="H123" s="0" t="s">
        <v>288</v>
      </c>
    </row>
    <row r="124" customFormat="false" ht="15" hidden="false" customHeight="false" outlineLevel="0" collapsed="false">
      <c r="A124" s="0" t="s">
        <v>78</v>
      </c>
      <c r="B124" s="0" t="s">
        <v>242</v>
      </c>
      <c r="C124" s="0" t="s">
        <v>254</v>
      </c>
      <c r="D124" s="31" t="n">
        <v>23520</v>
      </c>
      <c r="E124" s="32" t="n">
        <v>2.38</v>
      </c>
      <c r="F124" s="0" t="s">
        <v>286</v>
      </c>
      <c r="G124" s="0" t="s">
        <v>287</v>
      </c>
      <c r="H124" s="0" t="s">
        <v>288</v>
      </c>
    </row>
    <row r="125" customFormat="false" ht="15" hidden="false" customHeight="false" outlineLevel="0" collapsed="false">
      <c r="A125" s="0" t="s">
        <v>78</v>
      </c>
      <c r="B125" s="0" t="s">
        <v>242</v>
      </c>
      <c r="C125" s="0" t="s">
        <v>256</v>
      </c>
      <c r="D125" s="31" t="n">
        <v>823</v>
      </c>
      <c r="E125" s="32" t="n">
        <v>9.5</v>
      </c>
      <c r="F125" s="0" t="s">
        <v>286</v>
      </c>
      <c r="G125" s="0" t="s">
        <v>287</v>
      </c>
      <c r="H125" s="0" t="s">
        <v>288</v>
      </c>
    </row>
    <row r="126" customFormat="false" ht="15" hidden="false" customHeight="false" outlineLevel="0" collapsed="false">
      <c r="A126" s="0" t="s">
        <v>78</v>
      </c>
      <c r="B126" s="0" t="s">
        <v>242</v>
      </c>
      <c r="C126" s="0" t="s">
        <v>257</v>
      </c>
      <c r="D126" s="31" t="n">
        <v>329</v>
      </c>
      <c r="E126" s="32" t="n">
        <v>28.51</v>
      </c>
      <c r="F126" s="0" t="s">
        <v>286</v>
      </c>
      <c r="G126" s="0" t="s">
        <v>287</v>
      </c>
      <c r="H126" s="0" t="s">
        <v>288</v>
      </c>
    </row>
    <row r="127" customFormat="false" ht="15" hidden="false" customHeight="false" outlineLevel="0" collapsed="false">
      <c r="A127" s="0" t="s">
        <v>78</v>
      </c>
      <c r="B127" s="0" t="s">
        <v>245</v>
      </c>
      <c r="C127" s="0" t="s">
        <v>254</v>
      </c>
      <c r="D127" s="31" t="n">
        <v>20720</v>
      </c>
      <c r="E127" s="32" t="n">
        <v>1.94</v>
      </c>
      <c r="F127" s="0" t="s">
        <v>286</v>
      </c>
      <c r="G127" s="0" t="s">
        <v>287</v>
      </c>
      <c r="H127" s="0" t="s">
        <v>288</v>
      </c>
    </row>
    <row r="128" customFormat="false" ht="15" hidden="false" customHeight="false" outlineLevel="0" collapsed="false">
      <c r="A128" s="0" t="s">
        <v>78</v>
      </c>
      <c r="B128" s="0" t="s">
        <v>245</v>
      </c>
      <c r="C128" s="0" t="s">
        <v>256</v>
      </c>
      <c r="D128" s="31" t="n">
        <v>725</v>
      </c>
      <c r="E128" s="32" t="n">
        <v>7.74</v>
      </c>
      <c r="F128" s="0" t="s">
        <v>286</v>
      </c>
      <c r="G128" s="0" t="s">
        <v>287</v>
      </c>
      <c r="H128" s="0" t="s">
        <v>288</v>
      </c>
    </row>
    <row r="129" customFormat="false" ht="15" hidden="false" customHeight="false" outlineLevel="0" collapsed="false">
      <c r="A129" s="0" t="s">
        <v>78</v>
      </c>
      <c r="B129" s="0" t="s">
        <v>245</v>
      </c>
      <c r="C129" s="0" t="s">
        <v>257</v>
      </c>
      <c r="D129" s="31" t="n">
        <v>290</v>
      </c>
      <c r="E129" s="32" t="n">
        <v>23.23</v>
      </c>
      <c r="F129" s="0" t="s">
        <v>286</v>
      </c>
      <c r="G129" s="0" t="s">
        <v>287</v>
      </c>
      <c r="H129" s="0" t="s">
        <v>288</v>
      </c>
    </row>
    <row r="130" customFormat="false" ht="15" hidden="false" customHeight="false" outlineLevel="0" collapsed="false">
      <c r="A130" s="0" t="s">
        <v>79</v>
      </c>
      <c r="B130" s="0" t="s">
        <v>210</v>
      </c>
      <c r="C130" s="0" t="s">
        <v>254</v>
      </c>
      <c r="D130" s="31" t="n">
        <v>65000</v>
      </c>
      <c r="E130" s="32" t="n">
        <v>4.3</v>
      </c>
      <c r="F130" s="0" t="s">
        <v>286</v>
      </c>
      <c r="G130" s="0" t="s">
        <v>287</v>
      </c>
      <c r="H130" s="0" t="s">
        <v>288</v>
      </c>
    </row>
    <row r="131" customFormat="false" ht="15" hidden="false" customHeight="false" outlineLevel="0" collapsed="false">
      <c r="A131" s="0" t="s">
        <v>79</v>
      </c>
      <c r="B131" s="0" t="s">
        <v>210</v>
      </c>
      <c r="C131" s="0" t="s">
        <v>256</v>
      </c>
      <c r="D131" s="31" t="n">
        <v>2275</v>
      </c>
      <c r="E131" s="32" t="n">
        <v>17.2</v>
      </c>
      <c r="F131" s="0" t="s">
        <v>286</v>
      </c>
      <c r="G131" s="0" t="s">
        <v>287</v>
      </c>
      <c r="H131" s="0" t="s">
        <v>288</v>
      </c>
    </row>
    <row r="132" customFormat="false" ht="15" hidden="false" customHeight="false" outlineLevel="0" collapsed="false">
      <c r="A132" s="0" t="s">
        <v>79</v>
      </c>
      <c r="B132" s="0" t="s">
        <v>210</v>
      </c>
      <c r="C132" s="0" t="s">
        <v>257</v>
      </c>
      <c r="D132" s="31" t="n">
        <v>910</v>
      </c>
      <c r="E132" s="32" t="n">
        <v>51.6</v>
      </c>
      <c r="F132" s="0" t="s">
        <v>286</v>
      </c>
      <c r="G132" s="0" t="s">
        <v>287</v>
      </c>
      <c r="H132" s="0" t="s">
        <v>288</v>
      </c>
    </row>
    <row r="133" customFormat="false" ht="15" hidden="false" customHeight="false" outlineLevel="0" collapsed="false">
      <c r="A133" s="0" t="s">
        <v>79</v>
      </c>
      <c r="B133" s="0" t="s">
        <v>214</v>
      </c>
      <c r="C133" s="0" t="s">
        <v>254</v>
      </c>
      <c r="D133" s="31" t="n">
        <v>75000</v>
      </c>
      <c r="E133" s="32" t="n">
        <v>5.2</v>
      </c>
      <c r="F133" s="0" t="s">
        <v>286</v>
      </c>
      <c r="G133" s="0" t="s">
        <v>287</v>
      </c>
      <c r="H133" s="0" t="s">
        <v>288</v>
      </c>
    </row>
    <row r="134" customFormat="false" ht="15" hidden="false" customHeight="false" outlineLevel="0" collapsed="false">
      <c r="A134" s="0" t="s">
        <v>79</v>
      </c>
      <c r="B134" s="0" t="s">
        <v>214</v>
      </c>
      <c r="C134" s="0" t="s">
        <v>256</v>
      </c>
      <c r="D134" s="31" t="n">
        <v>2625</v>
      </c>
      <c r="E134" s="32" t="n">
        <v>20.8</v>
      </c>
      <c r="F134" s="0" t="s">
        <v>286</v>
      </c>
      <c r="G134" s="0" t="s">
        <v>287</v>
      </c>
      <c r="H134" s="0" t="s">
        <v>288</v>
      </c>
    </row>
    <row r="135" customFormat="false" ht="15" hidden="false" customHeight="false" outlineLevel="0" collapsed="false">
      <c r="A135" s="0" t="s">
        <v>79</v>
      </c>
      <c r="B135" s="0" t="s">
        <v>214</v>
      </c>
      <c r="C135" s="0" t="s">
        <v>257</v>
      </c>
      <c r="D135" s="31" t="n">
        <v>1050</v>
      </c>
      <c r="E135" s="32" t="n">
        <v>62.4</v>
      </c>
      <c r="F135" s="0" t="s">
        <v>286</v>
      </c>
      <c r="G135" s="0" t="s">
        <v>287</v>
      </c>
      <c r="H135" s="0" t="s">
        <v>288</v>
      </c>
    </row>
    <row r="136" customFormat="false" ht="15" hidden="false" customHeight="false" outlineLevel="0" collapsed="false">
      <c r="A136" s="0" t="s">
        <v>79</v>
      </c>
      <c r="B136" s="0" t="s">
        <v>218</v>
      </c>
      <c r="C136" s="0" t="s">
        <v>254</v>
      </c>
      <c r="D136" s="31" t="n">
        <v>57000</v>
      </c>
      <c r="E136" s="32" t="n">
        <v>3.7</v>
      </c>
      <c r="F136" s="0" t="s">
        <v>286</v>
      </c>
      <c r="G136" s="0" t="s">
        <v>287</v>
      </c>
      <c r="H136" s="0" t="s">
        <v>288</v>
      </c>
    </row>
    <row r="137" customFormat="false" ht="15" hidden="false" customHeight="false" outlineLevel="0" collapsed="false">
      <c r="A137" s="0" t="s">
        <v>79</v>
      </c>
      <c r="B137" s="0" t="s">
        <v>218</v>
      </c>
      <c r="C137" s="0" t="s">
        <v>256</v>
      </c>
      <c r="D137" s="31" t="n">
        <v>1995</v>
      </c>
      <c r="E137" s="32" t="n">
        <v>14.8</v>
      </c>
      <c r="F137" s="0" t="s">
        <v>286</v>
      </c>
      <c r="G137" s="0" t="s">
        <v>287</v>
      </c>
      <c r="H137" s="0" t="s">
        <v>288</v>
      </c>
    </row>
    <row r="138" customFormat="false" ht="15" hidden="false" customHeight="false" outlineLevel="0" collapsed="false">
      <c r="A138" s="0" t="s">
        <v>79</v>
      </c>
      <c r="B138" s="0" t="s">
        <v>218</v>
      </c>
      <c r="C138" s="0" t="s">
        <v>257</v>
      </c>
      <c r="D138" s="31" t="n">
        <v>798</v>
      </c>
      <c r="E138" s="32" t="n">
        <v>44.4</v>
      </c>
      <c r="F138" s="0" t="s">
        <v>286</v>
      </c>
      <c r="G138" s="0" t="s">
        <v>287</v>
      </c>
      <c r="H138" s="0" t="s">
        <v>288</v>
      </c>
    </row>
    <row r="139" customFormat="false" ht="15" hidden="false" customHeight="false" outlineLevel="0" collapsed="false">
      <c r="A139" s="0" t="s">
        <v>79</v>
      </c>
      <c r="B139" s="0" t="s">
        <v>221</v>
      </c>
      <c r="C139" s="0" t="s">
        <v>254</v>
      </c>
      <c r="D139" s="31" t="n">
        <v>70000</v>
      </c>
      <c r="E139" s="32" t="n">
        <v>4.4</v>
      </c>
      <c r="F139" s="0" t="s">
        <v>286</v>
      </c>
      <c r="G139" s="0" t="s">
        <v>287</v>
      </c>
      <c r="H139" s="0" t="s">
        <v>288</v>
      </c>
    </row>
    <row r="140" customFormat="false" ht="15" hidden="false" customHeight="false" outlineLevel="0" collapsed="false">
      <c r="A140" s="0" t="s">
        <v>79</v>
      </c>
      <c r="B140" s="0" t="s">
        <v>221</v>
      </c>
      <c r="C140" s="0" t="s">
        <v>256</v>
      </c>
      <c r="D140" s="31" t="n">
        <v>2450</v>
      </c>
      <c r="E140" s="32" t="n">
        <v>17.6</v>
      </c>
      <c r="F140" s="0" t="s">
        <v>286</v>
      </c>
      <c r="G140" s="0" t="s">
        <v>287</v>
      </c>
      <c r="H140" s="0" t="s">
        <v>288</v>
      </c>
    </row>
    <row r="141" customFormat="false" ht="15" hidden="false" customHeight="false" outlineLevel="0" collapsed="false">
      <c r="A141" s="0" t="s">
        <v>79</v>
      </c>
      <c r="B141" s="0" t="s">
        <v>221</v>
      </c>
      <c r="C141" s="0" t="s">
        <v>257</v>
      </c>
      <c r="D141" s="31" t="n">
        <v>980</v>
      </c>
      <c r="E141" s="32" t="n">
        <v>52.8</v>
      </c>
      <c r="F141" s="0" t="s">
        <v>286</v>
      </c>
      <c r="G141" s="0" t="s">
        <v>287</v>
      </c>
      <c r="H141" s="0" t="s">
        <v>288</v>
      </c>
    </row>
    <row r="142" customFormat="false" ht="15" hidden="false" customHeight="false" outlineLevel="0" collapsed="false">
      <c r="A142" s="0" t="s">
        <v>79</v>
      </c>
      <c r="B142" s="0" t="s">
        <v>222</v>
      </c>
      <c r="C142" s="0" t="s">
        <v>254</v>
      </c>
      <c r="D142" s="31" t="n">
        <v>52000</v>
      </c>
      <c r="E142" s="32" t="n">
        <v>5.2</v>
      </c>
      <c r="F142" s="0" t="s">
        <v>286</v>
      </c>
      <c r="G142" s="0" t="s">
        <v>287</v>
      </c>
      <c r="H142" s="0" t="s">
        <v>288</v>
      </c>
    </row>
    <row r="143" customFormat="false" ht="15" hidden="false" customHeight="false" outlineLevel="0" collapsed="false">
      <c r="A143" s="0" t="s">
        <v>79</v>
      </c>
      <c r="B143" s="0" t="s">
        <v>222</v>
      </c>
      <c r="C143" s="0" t="s">
        <v>256</v>
      </c>
      <c r="D143" s="31" t="n">
        <v>1820</v>
      </c>
      <c r="E143" s="32" t="n">
        <v>20.8</v>
      </c>
      <c r="F143" s="0" t="s">
        <v>286</v>
      </c>
      <c r="G143" s="0" t="s">
        <v>287</v>
      </c>
      <c r="H143" s="0" t="s">
        <v>288</v>
      </c>
    </row>
    <row r="144" customFormat="false" ht="15" hidden="false" customHeight="false" outlineLevel="0" collapsed="false">
      <c r="A144" s="0" t="s">
        <v>79</v>
      </c>
      <c r="B144" s="0" t="s">
        <v>222</v>
      </c>
      <c r="C144" s="0" t="s">
        <v>257</v>
      </c>
      <c r="D144" s="31" t="n">
        <v>728</v>
      </c>
      <c r="E144" s="32" t="n">
        <v>62.4</v>
      </c>
      <c r="F144" s="0" t="s">
        <v>286</v>
      </c>
      <c r="G144" s="0" t="s">
        <v>287</v>
      </c>
      <c r="H144" s="0" t="s">
        <v>288</v>
      </c>
    </row>
    <row r="145" customFormat="false" ht="15" hidden="false" customHeight="false" outlineLevel="0" collapsed="false">
      <c r="A145" s="0" t="s">
        <v>79</v>
      </c>
      <c r="B145" s="0" t="s">
        <v>226</v>
      </c>
      <c r="C145" s="0" t="s">
        <v>254</v>
      </c>
      <c r="D145" s="31" t="n">
        <v>39000</v>
      </c>
      <c r="E145" s="32" t="n">
        <v>4.2</v>
      </c>
      <c r="F145" s="0" t="s">
        <v>286</v>
      </c>
      <c r="G145" s="0" t="s">
        <v>287</v>
      </c>
      <c r="H145" s="0" t="s">
        <v>288</v>
      </c>
    </row>
    <row r="146" customFormat="false" ht="15" hidden="false" customHeight="false" outlineLevel="0" collapsed="false">
      <c r="A146" s="0" t="s">
        <v>79</v>
      </c>
      <c r="B146" s="0" t="s">
        <v>226</v>
      </c>
      <c r="C146" s="0" t="s">
        <v>256</v>
      </c>
      <c r="D146" s="31" t="n">
        <v>1365</v>
      </c>
      <c r="E146" s="32" t="n">
        <v>16.8</v>
      </c>
      <c r="F146" s="0" t="s">
        <v>286</v>
      </c>
      <c r="G146" s="0" t="s">
        <v>287</v>
      </c>
      <c r="H146" s="0" t="s">
        <v>288</v>
      </c>
    </row>
    <row r="147" customFormat="false" ht="15" hidden="false" customHeight="false" outlineLevel="0" collapsed="false">
      <c r="A147" s="0" t="s">
        <v>79</v>
      </c>
      <c r="B147" s="0" t="s">
        <v>226</v>
      </c>
      <c r="C147" s="0" t="s">
        <v>257</v>
      </c>
      <c r="D147" s="31" t="n">
        <v>546</v>
      </c>
      <c r="E147" s="32" t="n">
        <v>50.4</v>
      </c>
      <c r="F147" s="0" t="s">
        <v>286</v>
      </c>
      <c r="G147" s="0" t="s">
        <v>287</v>
      </c>
      <c r="H147" s="0" t="s">
        <v>288</v>
      </c>
    </row>
    <row r="148" customFormat="false" ht="15" hidden="false" customHeight="false" outlineLevel="0" collapsed="false">
      <c r="A148" s="0" t="s">
        <v>79</v>
      </c>
      <c r="B148" s="0" t="s">
        <v>229</v>
      </c>
      <c r="C148" s="0" t="s">
        <v>254</v>
      </c>
      <c r="D148" s="31" t="n">
        <v>42000</v>
      </c>
      <c r="E148" s="32" t="n">
        <v>3.6</v>
      </c>
      <c r="F148" s="0" t="s">
        <v>286</v>
      </c>
      <c r="G148" s="0" t="s">
        <v>287</v>
      </c>
      <c r="H148" s="0" t="s">
        <v>288</v>
      </c>
    </row>
    <row r="149" customFormat="false" ht="15" hidden="false" customHeight="false" outlineLevel="0" collapsed="false">
      <c r="A149" s="0" t="s">
        <v>79</v>
      </c>
      <c r="B149" s="0" t="s">
        <v>229</v>
      </c>
      <c r="C149" s="0" t="s">
        <v>256</v>
      </c>
      <c r="D149" s="31" t="n">
        <v>1470</v>
      </c>
      <c r="E149" s="32" t="n">
        <v>14.4</v>
      </c>
      <c r="F149" s="0" t="s">
        <v>286</v>
      </c>
      <c r="G149" s="0" t="s">
        <v>287</v>
      </c>
      <c r="H149" s="0" t="s">
        <v>288</v>
      </c>
    </row>
    <row r="150" customFormat="false" ht="15" hidden="false" customHeight="false" outlineLevel="0" collapsed="false">
      <c r="A150" s="0" t="s">
        <v>79</v>
      </c>
      <c r="B150" s="0" t="s">
        <v>229</v>
      </c>
      <c r="C150" s="0" t="s">
        <v>257</v>
      </c>
      <c r="D150" s="31" t="n">
        <v>588</v>
      </c>
      <c r="E150" s="32" t="n">
        <v>43.2</v>
      </c>
      <c r="F150" s="0" t="s">
        <v>286</v>
      </c>
      <c r="G150" s="0" t="s">
        <v>287</v>
      </c>
      <c r="H150" s="0" t="s">
        <v>288</v>
      </c>
    </row>
    <row r="151" customFormat="false" ht="15" hidden="false" customHeight="false" outlineLevel="0" collapsed="false">
      <c r="A151" s="0" t="s">
        <v>79</v>
      </c>
      <c r="B151" s="0" t="s">
        <v>232</v>
      </c>
      <c r="C151" s="0" t="s">
        <v>254</v>
      </c>
      <c r="D151" s="31" t="n">
        <v>34000</v>
      </c>
      <c r="E151" s="32" t="n">
        <v>3.3</v>
      </c>
      <c r="F151" s="0" t="s">
        <v>286</v>
      </c>
      <c r="G151" s="0" t="s">
        <v>287</v>
      </c>
      <c r="H151" s="0" t="s">
        <v>288</v>
      </c>
    </row>
    <row r="152" customFormat="false" ht="15" hidden="false" customHeight="false" outlineLevel="0" collapsed="false">
      <c r="A152" s="0" t="s">
        <v>79</v>
      </c>
      <c r="B152" s="0" t="s">
        <v>232</v>
      </c>
      <c r="C152" s="0" t="s">
        <v>256</v>
      </c>
      <c r="D152" s="31" t="n">
        <v>1190</v>
      </c>
      <c r="E152" s="32" t="n">
        <v>13.2</v>
      </c>
      <c r="F152" s="0" t="s">
        <v>286</v>
      </c>
      <c r="G152" s="0" t="s">
        <v>287</v>
      </c>
      <c r="H152" s="0" t="s">
        <v>288</v>
      </c>
    </row>
    <row r="153" customFormat="false" ht="15" hidden="false" customHeight="false" outlineLevel="0" collapsed="false">
      <c r="A153" s="0" t="s">
        <v>79</v>
      </c>
      <c r="B153" s="0" t="s">
        <v>232</v>
      </c>
      <c r="C153" s="0" t="s">
        <v>257</v>
      </c>
      <c r="D153" s="31" t="n">
        <v>476</v>
      </c>
      <c r="E153" s="32" t="n">
        <v>39.6</v>
      </c>
      <c r="F153" s="0" t="s">
        <v>286</v>
      </c>
      <c r="G153" s="0" t="s">
        <v>287</v>
      </c>
      <c r="H153" s="0" t="s">
        <v>288</v>
      </c>
    </row>
    <row r="154" customFormat="false" ht="15" hidden="false" customHeight="false" outlineLevel="0" collapsed="false">
      <c r="A154" s="0" t="s">
        <v>79</v>
      </c>
      <c r="B154" s="0" t="s">
        <v>234</v>
      </c>
      <c r="C154" s="0" t="s">
        <v>254</v>
      </c>
      <c r="D154" s="31" t="n">
        <v>43000</v>
      </c>
      <c r="E154" s="32" t="n">
        <v>2.9</v>
      </c>
      <c r="F154" s="0" t="s">
        <v>286</v>
      </c>
      <c r="G154" s="0" t="s">
        <v>287</v>
      </c>
      <c r="H154" s="0" t="s">
        <v>288</v>
      </c>
    </row>
    <row r="155" customFormat="false" ht="15" hidden="false" customHeight="false" outlineLevel="0" collapsed="false">
      <c r="A155" s="0" t="s">
        <v>79</v>
      </c>
      <c r="B155" s="0" t="s">
        <v>234</v>
      </c>
      <c r="C155" s="0" t="s">
        <v>256</v>
      </c>
      <c r="D155" s="31" t="n">
        <v>1505</v>
      </c>
      <c r="E155" s="32" t="n">
        <v>11.6</v>
      </c>
      <c r="F155" s="0" t="s">
        <v>286</v>
      </c>
      <c r="G155" s="0" t="s">
        <v>287</v>
      </c>
      <c r="H155" s="0" t="s">
        <v>288</v>
      </c>
    </row>
    <row r="156" customFormat="false" ht="15" hidden="false" customHeight="false" outlineLevel="0" collapsed="false">
      <c r="A156" s="0" t="s">
        <v>79</v>
      </c>
      <c r="B156" s="0" t="s">
        <v>234</v>
      </c>
      <c r="C156" s="0" t="s">
        <v>257</v>
      </c>
      <c r="D156" s="31" t="n">
        <v>602</v>
      </c>
      <c r="E156" s="32" t="n">
        <v>34.8</v>
      </c>
      <c r="F156" s="0" t="s">
        <v>286</v>
      </c>
      <c r="G156" s="0" t="s">
        <v>287</v>
      </c>
      <c r="H156" s="0" t="s">
        <v>288</v>
      </c>
    </row>
    <row r="157" customFormat="false" ht="15" hidden="false" customHeight="false" outlineLevel="0" collapsed="false">
      <c r="A157" s="0" t="s">
        <v>79</v>
      </c>
      <c r="B157" s="0" t="s">
        <v>239</v>
      </c>
      <c r="C157" s="0" t="s">
        <v>254</v>
      </c>
      <c r="D157" s="31" t="n">
        <v>33000</v>
      </c>
      <c r="E157" s="32" t="n">
        <v>2.2</v>
      </c>
      <c r="F157" s="0" t="s">
        <v>286</v>
      </c>
      <c r="G157" s="0" t="s">
        <v>287</v>
      </c>
      <c r="H157" s="0" t="s">
        <v>288</v>
      </c>
    </row>
    <row r="158" customFormat="false" ht="15" hidden="false" customHeight="false" outlineLevel="0" collapsed="false">
      <c r="A158" s="0" t="s">
        <v>79</v>
      </c>
      <c r="B158" s="0" t="s">
        <v>239</v>
      </c>
      <c r="C158" s="0" t="s">
        <v>256</v>
      </c>
      <c r="D158" s="31" t="n">
        <v>1155</v>
      </c>
      <c r="E158" s="32" t="n">
        <v>8.8</v>
      </c>
      <c r="F158" s="0" t="s">
        <v>286</v>
      </c>
      <c r="G158" s="0" t="s">
        <v>287</v>
      </c>
      <c r="H158" s="0" t="s">
        <v>288</v>
      </c>
    </row>
    <row r="159" customFormat="false" ht="15" hidden="false" customHeight="false" outlineLevel="0" collapsed="false">
      <c r="A159" s="0" t="s">
        <v>79</v>
      </c>
      <c r="B159" s="0" t="s">
        <v>239</v>
      </c>
      <c r="C159" s="0" t="s">
        <v>257</v>
      </c>
      <c r="D159" s="31" t="n">
        <v>462</v>
      </c>
      <c r="E159" s="32" t="n">
        <v>26.4</v>
      </c>
      <c r="F159" s="0" t="s">
        <v>286</v>
      </c>
      <c r="G159" s="0" t="s">
        <v>287</v>
      </c>
      <c r="H159" s="0" t="s">
        <v>288</v>
      </c>
    </row>
    <row r="160" customFormat="false" ht="15" hidden="false" customHeight="false" outlineLevel="0" collapsed="false">
      <c r="A160" s="0" t="s">
        <v>79</v>
      </c>
      <c r="B160" s="0" t="s">
        <v>242</v>
      </c>
      <c r="C160" s="0" t="s">
        <v>254</v>
      </c>
      <c r="D160" s="31" t="n">
        <v>42000</v>
      </c>
      <c r="E160" s="32" t="n">
        <v>2.7</v>
      </c>
      <c r="F160" s="0" t="s">
        <v>286</v>
      </c>
      <c r="G160" s="0" t="s">
        <v>287</v>
      </c>
      <c r="H160" s="0" t="s">
        <v>288</v>
      </c>
    </row>
    <row r="161" customFormat="false" ht="15" hidden="false" customHeight="false" outlineLevel="0" collapsed="false">
      <c r="A161" s="0" t="s">
        <v>79</v>
      </c>
      <c r="B161" s="0" t="s">
        <v>242</v>
      </c>
      <c r="C161" s="0" t="s">
        <v>256</v>
      </c>
      <c r="D161" s="31" t="n">
        <v>1470</v>
      </c>
      <c r="E161" s="32" t="n">
        <v>10.8</v>
      </c>
      <c r="F161" s="0" t="s">
        <v>286</v>
      </c>
      <c r="G161" s="0" t="s">
        <v>287</v>
      </c>
      <c r="H161" s="0" t="s">
        <v>288</v>
      </c>
    </row>
    <row r="162" customFormat="false" ht="15" hidden="false" customHeight="false" outlineLevel="0" collapsed="false">
      <c r="A162" s="0" t="s">
        <v>79</v>
      </c>
      <c r="B162" s="0" t="s">
        <v>242</v>
      </c>
      <c r="C162" s="0" t="s">
        <v>257</v>
      </c>
      <c r="D162" s="31" t="n">
        <v>588</v>
      </c>
      <c r="E162" s="32" t="n">
        <v>32.4</v>
      </c>
      <c r="F162" s="0" t="s">
        <v>286</v>
      </c>
      <c r="G162" s="0" t="s">
        <v>287</v>
      </c>
      <c r="H162" s="0" t="s">
        <v>288</v>
      </c>
    </row>
    <row r="163" customFormat="false" ht="15" hidden="false" customHeight="false" outlineLevel="0" collapsed="false">
      <c r="A163" s="0" t="s">
        <v>79</v>
      </c>
      <c r="B163" s="0" t="s">
        <v>245</v>
      </c>
      <c r="C163" s="0" t="s">
        <v>254</v>
      </c>
      <c r="D163" s="31" t="n">
        <v>37000</v>
      </c>
      <c r="E163" s="32" t="n">
        <v>2.2</v>
      </c>
      <c r="F163" s="0" t="s">
        <v>286</v>
      </c>
      <c r="G163" s="0" t="s">
        <v>287</v>
      </c>
      <c r="H163" s="0" t="s">
        <v>288</v>
      </c>
    </row>
    <row r="164" customFormat="false" ht="15" hidden="false" customHeight="false" outlineLevel="0" collapsed="false">
      <c r="A164" s="0" t="s">
        <v>79</v>
      </c>
      <c r="B164" s="0" t="s">
        <v>245</v>
      </c>
      <c r="C164" s="0" t="s">
        <v>256</v>
      </c>
      <c r="D164" s="31" t="n">
        <v>1295</v>
      </c>
      <c r="E164" s="32" t="n">
        <v>8.8</v>
      </c>
      <c r="F164" s="0" t="s">
        <v>286</v>
      </c>
      <c r="G164" s="0" t="s">
        <v>287</v>
      </c>
      <c r="H164" s="0" t="s">
        <v>288</v>
      </c>
    </row>
    <row r="165" customFormat="false" ht="15" hidden="false" customHeight="false" outlineLevel="0" collapsed="false">
      <c r="A165" s="0" t="s">
        <v>79</v>
      </c>
      <c r="B165" s="0" t="s">
        <v>245</v>
      </c>
      <c r="C165" s="0" t="s">
        <v>257</v>
      </c>
      <c r="D165" s="31" t="n">
        <v>518</v>
      </c>
      <c r="E165" s="32" t="n">
        <v>26.4</v>
      </c>
      <c r="F165" s="0" t="s">
        <v>286</v>
      </c>
      <c r="G165" s="0" t="s">
        <v>287</v>
      </c>
      <c r="H165" s="0" t="s">
        <v>288</v>
      </c>
    </row>
  </sheetData>
  <mergeCells count="2">
    <mergeCell ref="A1:N1"/>
    <mergeCell ref="A3:N3"/>
  </mergeCells>
  <dataValidations count="1">
    <dataValidation allowBlank="false" errorStyle="stop" operator="between" showDropDown="false" showErrorMessage="false" showInputMessage="false" sqref="C6" type="list">
      <formula1>"Base,Downside"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1"/>
    <col collapsed="false" customWidth="true" hidden="false" outlineLevel="0" max="22" min="5" style="0" width="16"/>
    <col collapsed="false" customWidth="true" hidden="false" outlineLevel="0" max="23" min="23" style="0" width="24"/>
    <col collapsed="false" customWidth="true" hidden="false" outlineLevel="0" max="24" min="24" style="0" width="36"/>
  </cols>
  <sheetData>
    <row r="1" customFormat="false" ht="36" hidden="false" customHeight="true" outlineLevel="0" collapsed="false">
      <c r="A1" s="1" t="s">
        <v>290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customFormat="false" ht="15" hidden="false" customHeight="false" outlineLevel="0" collapsed="false">
      <c r="A3" s="15" t="s">
        <v>291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</row>
    <row r="5" customFormat="false" ht="24.75" hidden="false" customHeight="true" outlineLevel="0" collapsed="false">
      <c r="A5" s="16" t="s">
        <v>292</v>
      </c>
      <c r="B5" s="16" t="s">
        <v>281</v>
      </c>
      <c r="C5" s="16" t="s">
        <v>43</v>
      </c>
      <c r="D5" s="16" t="s">
        <v>247</v>
      </c>
      <c r="E5" s="16" t="s">
        <v>293</v>
      </c>
      <c r="F5" s="16" t="s">
        <v>294</v>
      </c>
      <c r="G5" s="16" t="s">
        <v>295</v>
      </c>
      <c r="H5" s="16" t="s">
        <v>282</v>
      </c>
      <c r="I5" s="16" t="s">
        <v>296</v>
      </c>
      <c r="J5" s="16" t="s">
        <v>297</v>
      </c>
      <c r="K5" s="16" t="s">
        <v>298</v>
      </c>
      <c r="L5" s="16" t="s">
        <v>299</v>
      </c>
      <c r="M5" s="16" t="s">
        <v>300</v>
      </c>
      <c r="N5" s="16" t="s">
        <v>301</v>
      </c>
      <c r="O5" s="16" t="s">
        <v>302</v>
      </c>
      <c r="P5" s="16" t="s">
        <v>303</v>
      </c>
      <c r="Q5" s="16" t="s">
        <v>304</v>
      </c>
      <c r="R5" s="16" t="s">
        <v>305</v>
      </c>
      <c r="S5" s="16" t="s">
        <v>306</v>
      </c>
      <c r="T5" s="16" t="s">
        <v>307</v>
      </c>
      <c r="U5" s="16" t="s">
        <v>308</v>
      </c>
      <c r="V5" s="16" t="s">
        <v>309</v>
      </c>
      <c r="W5" s="16" t="s">
        <v>310</v>
      </c>
      <c r="X5" s="16" t="s">
        <v>311</v>
      </c>
    </row>
    <row r="6" customFormat="false" ht="15" hidden="false" customHeight="false" outlineLevel="0" collapsed="false">
      <c r="A6" s="25" t="str">
        <f aca="false">Assumptions!A58</f>
        <v>FY22</v>
      </c>
      <c r="B6" s="25" t="str">
        <f aca="false">Assumptions!B58</f>
        <v>SAB_T</v>
      </c>
      <c r="C6" s="25" t="str">
        <f aca="false">Assumptions!B24</f>
        <v>Spices</v>
      </c>
      <c r="D6" s="25" t="str">
        <f aca="false">Assumptions!C58</f>
        <v>GT</v>
      </c>
      <c r="E6" s="20" t="n">
        <f aca="false">Assumptions!E24*(1+Assumptions!$C$11)^0</f>
        <v>10</v>
      </c>
      <c r="F6" s="20" t="n">
        <f aca="false">Assumptions!F24*(1+Assumptions!$C$12)^0</f>
        <v>5.25</v>
      </c>
      <c r="G6" s="25" t="n">
        <f aca="false">Assumptions!G24</f>
        <v>52</v>
      </c>
      <c r="H6" s="33" t="n">
        <f aca="false">Assumptions!D58</f>
        <v>10400</v>
      </c>
      <c r="I6" s="34" t="n">
        <f aca="false">Assumptions!E58</f>
        <v>2.58</v>
      </c>
      <c r="J6" s="35" t="n">
        <f aca="false">Assumptions!$C$13</f>
        <v>0.95</v>
      </c>
      <c r="K6" s="35" t="n">
        <f aca="false">Assumptions!B40</f>
        <v>0.25</v>
      </c>
      <c r="L6" s="35" t="n">
        <f aca="false">Assumptions!C40+IF(Assumptions!$C$6="Downside",Assumptions!$C$9,0)</f>
        <v>0.065</v>
      </c>
      <c r="M6" s="25" t="n">
        <f aca="false">Assumptions!E40</f>
        <v>1</v>
      </c>
      <c r="N6" s="36" t="n">
        <f aca="false">H6*I6*G6*IF(Assumptions!$C$6="Downside",1-Assumptions!$C$7,1)</f>
        <v>1395264</v>
      </c>
      <c r="O6" s="36" t="n">
        <f aca="false">N6*J6</f>
        <v>1325500.8</v>
      </c>
      <c r="P6" s="37" t="n">
        <f aca="false">E6*(1-K6)</f>
        <v>7.5</v>
      </c>
      <c r="Q6" s="37" t="n">
        <f aca="false">O6*P6/10000000</f>
        <v>0.9941256</v>
      </c>
      <c r="R6" s="37" t="n">
        <f aca="false">O6*F6/10000000+IF(Assumptions!$C$6="Downside",Q6*Assumptions!$C$8,0)</f>
        <v>0.69588792</v>
      </c>
      <c r="S6" s="37" t="n">
        <f aca="false">Q6*L6</f>
        <v>0.064618164</v>
      </c>
      <c r="T6" s="37" t="n">
        <f aca="false">O6*M6/10000000</f>
        <v>0.13255008</v>
      </c>
      <c r="U6" s="37" t="n">
        <f aca="false">Q6-SUM(R6:T6)</f>
        <v>0.101069436</v>
      </c>
      <c r="V6" s="28" t="n">
        <f aca="false">IFERROR(U6/Q6,0)</f>
        <v>0.101666666666667</v>
      </c>
      <c r="W6" s="25" t="str">
        <f aca="false">Assumptions!F58</f>
        <v>Illustrative (replace with pilot)</v>
      </c>
      <c r="X6" s="25" t="str">
        <f aca="false">Assumptions!C24&amp;" | "&amp;Assumptions!D24</f>
        <v>Everyday Sabzi Masala | 8g trial</v>
      </c>
    </row>
    <row r="7" customFormat="false" ht="15" hidden="false" customHeight="false" outlineLevel="0" collapsed="false">
      <c r="A7" s="25" t="str">
        <f aca="false">Assumptions!A59</f>
        <v>FY22</v>
      </c>
      <c r="B7" s="25" t="str">
        <f aca="false">Assumptions!B59</f>
        <v>SAB_T</v>
      </c>
      <c r="C7" s="25" t="str">
        <f aca="false">Assumptions!B24</f>
        <v>Spices</v>
      </c>
      <c r="D7" s="25" t="str">
        <f aca="false">Assumptions!C59</f>
        <v>Modern</v>
      </c>
      <c r="E7" s="20" t="n">
        <f aca="false">Assumptions!E24*(1+Assumptions!$C$11)^0</f>
        <v>10</v>
      </c>
      <c r="F7" s="20" t="n">
        <f aca="false">Assumptions!F24*(1+Assumptions!$C$12)^0</f>
        <v>5.25</v>
      </c>
      <c r="G7" s="25" t="n">
        <f aca="false">Assumptions!G24</f>
        <v>52</v>
      </c>
      <c r="H7" s="33" t="n">
        <f aca="false">Assumptions!D59</f>
        <v>364</v>
      </c>
      <c r="I7" s="34" t="n">
        <f aca="false">Assumptions!E59</f>
        <v>10.32</v>
      </c>
      <c r="J7" s="35" t="n">
        <f aca="false">Assumptions!$C$13</f>
        <v>0.95</v>
      </c>
      <c r="K7" s="35" t="n">
        <f aca="false">Assumptions!B41</f>
        <v>0.28</v>
      </c>
      <c r="L7" s="35" t="n">
        <f aca="false">Assumptions!C41+IF(Assumptions!$C$6="Downside",Assumptions!$C$9,0)</f>
        <v>0.14</v>
      </c>
      <c r="M7" s="25" t="n">
        <f aca="false">Assumptions!E41</f>
        <v>1.7</v>
      </c>
      <c r="N7" s="36" t="n">
        <f aca="false">H7*I7*G7*IF(Assumptions!$C$6="Downside",1-Assumptions!$C$7,1)</f>
        <v>195336.96</v>
      </c>
      <c r="O7" s="36" t="n">
        <f aca="false">N7*J7</f>
        <v>185570.112</v>
      </c>
      <c r="P7" s="37" t="n">
        <f aca="false">E7*(1-K7)</f>
        <v>7.2</v>
      </c>
      <c r="Q7" s="37" t="n">
        <f aca="false">O7*P7/10000000</f>
        <v>0.13361048064</v>
      </c>
      <c r="R7" s="37" t="n">
        <f aca="false">O7*F7/10000000+IF(Assumptions!$C$6="Downside",Q7*Assumptions!$C$8,0)</f>
        <v>0.0974243088</v>
      </c>
      <c r="S7" s="37" t="n">
        <f aca="false">Q7*L7</f>
        <v>0.0187054672896</v>
      </c>
      <c r="T7" s="37" t="n">
        <f aca="false">O7*M7/10000000</f>
        <v>0.03154691904</v>
      </c>
      <c r="U7" s="37" t="n">
        <f aca="false">Q7-SUM(R7:T7)</f>
        <v>-0.0140662144896</v>
      </c>
      <c r="V7" s="28" t="n">
        <f aca="false">IFERROR(U7/Q7,0)</f>
        <v>-0.105277777777778</v>
      </c>
      <c r="W7" s="25" t="str">
        <f aca="false">Assumptions!F59</f>
        <v>Illustrative (replace with pilot)</v>
      </c>
      <c r="X7" s="25" t="str">
        <f aca="false">Assumptions!C24&amp;" | "&amp;Assumptions!D24</f>
        <v>Everyday Sabzi Masala | 8g trial</v>
      </c>
    </row>
    <row r="8" customFormat="false" ht="15" hidden="false" customHeight="false" outlineLevel="0" collapsed="false">
      <c r="A8" s="25" t="str">
        <f aca="false">Assumptions!A60</f>
        <v>FY22</v>
      </c>
      <c r="B8" s="25" t="str">
        <f aca="false">Assumptions!B60</f>
        <v>SAB_T</v>
      </c>
      <c r="C8" s="25" t="str">
        <f aca="false">Assumptions!B24</f>
        <v>Spices</v>
      </c>
      <c r="D8" s="25" t="str">
        <f aca="false">Assumptions!C60</f>
        <v>QCom</v>
      </c>
      <c r="E8" s="20" t="n">
        <f aca="false">Assumptions!E24*(1+Assumptions!$C$11)^0</f>
        <v>10</v>
      </c>
      <c r="F8" s="20" t="n">
        <f aca="false">Assumptions!F24*(1+Assumptions!$C$12)^0</f>
        <v>5.25</v>
      </c>
      <c r="G8" s="25" t="n">
        <f aca="false">Assumptions!G24</f>
        <v>52</v>
      </c>
      <c r="H8" s="33" t="n">
        <f aca="false">Assumptions!D60</f>
        <v>146</v>
      </c>
      <c r="I8" s="34" t="n">
        <f aca="false">Assumptions!E60</f>
        <v>30.96</v>
      </c>
      <c r="J8" s="35" t="n">
        <f aca="false">Assumptions!$C$13</f>
        <v>0.95</v>
      </c>
      <c r="K8" s="35" t="n">
        <f aca="false">Assumptions!B42</f>
        <v>0.38</v>
      </c>
      <c r="L8" s="35" t="n">
        <f aca="false">Assumptions!C42+IF(Assumptions!$C$6="Downside",Assumptions!$C$9,0)</f>
        <v>0.24</v>
      </c>
      <c r="M8" s="25" t="n">
        <f aca="false">Assumptions!E42</f>
        <v>2</v>
      </c>
      <c r="N8" s="36" t="n">
        <f aca="false">H8*I8*G8*IF(Assumptions!$C$6="Downside",1-Assumptions!$C$7,1)</f>
        <v>235048.32</v>
      </c>
      <c r="O8" s="36" t="n">
        <f aca="false">N8*J8</f>
        <v>223295.904</v>
      </c>
      <c r="P8" s="37" t="n">
        <f aca="false">E8*(1-K8)</f>
        <v>6.2</v>
      </c>
      <c r="Q8" s="37" t="n">
        <f aca="false">O8*P8/10000000</f>
        <v>0.13844346048</v>
      </c>
      <c r="R8" s="37" t="n">
        <f aca="false">O8*F8/10000000+IF(Assumptions!$C$6="Downside",Q8*Assumptions!$C$8,0)</f>
        <v>0.1172303496</v>
      </c>
      <c r="S8" s="37" t="n">
        <f aca="false">Q8*L8</f>
        <v>0.0332264305152</v>
      </c>
      <c r="T8" s="37" t="n">
        <f aca="false">O8*M8/10000000</f>
        <v>0.0446591808</v>
      </c>
      <c r="U8" s="37" t="n">
        <f aca="false">Q8-SUM(R8:T8)</f>
        <v>-0.0566725004352</v>
      </c>
      <c r="V8" s="28" t="n">
        <f aca="false">IFERROR(U8/Q8,0)</f>
        <v>-0.409354838709677</v>
      </c>
      <c r="W8" s="25" t="str">
        <f aca="false">Assumptions!F60</f>
        <v>Illustrative (replace with pilot)</v>
      </c>
      <c r="X8" s="25" t="str">
        <f aca="false">Assumptions!C24&amp;" | "&amp;Assumptions!D24</f>
        <v>Everyday Sabzi Masala | 8g trial</v>
      </c>
    </row>
    <row r="9" customFormat="false" ht="15" hidden="false" customHeight="false" outlineLevel="0" collapsed="false">
      <c r="A9" s="25" t="str">
        <f aca="false">Assumptions!A61</f>
        <v>FY22</v>
      </c>
      <c r="B9" s="25" t="str">
        <f aca="false">Assumptions!B61</f>
        <v>SAB_L</v>
      </c>
      <c r="C9" s="25" t="str">
        <f aca="false">Assumptions!B25</f>
        <v>Spices</v>
      </c>
      <c r="D9" s="25" t="str">
        <f aca="false">Assumptions!C61</f>
        <v>GT</v>
      </c>
      <c r="E9" s="20" t="n">
        <f aca="false">Assumptions!E25*(1+Assumptions!$C$11)^0</f>
        <v>49</v>
      </c>
      <c r="F9" s="20" t="n">
        <f aca="false">Assumptions!F25*(1+Assumptions!$C$12)^0</f>
        <v>23</v>
      </c>
      <c r="G9" s="25" t="n">
        <f aca="false">Assumptions!G25</f>
        <v>52</v>
      </c>
      <c r="H9" s="33" t="n">
        <f aca="false">Assumptions!D61</f>
        <v>12000</v>
      </c>
      <c r="I9" s="34" t="n">
        <f aca="false">Assumptions!E61</f>
        <v>3.12</v>
      </c>
      <c r="J9" s="35" t="n">
        <f aca="false">Assumptions!$C$13</f>
        <v>0.95</v>
      </c>
      <c r="K9" s="35" t="n">
        <f aca="false">Assumptions!B40</f>
        <v>0.25</v>
      </c>
      <c r="L9" s="35" t="n">
        <f aca="false">Assumptions!C40+IF(Assumptions!$C$6="Downside",Assumptions!$C$9,0)</f>
        <v>0.065</v>
      </c>
      <c r="M9" s="25" t="n">
        <f aca="false">Assumptions!E40</f>
        <v>1</v>
      </c>
      <c r="N9" s="36" t="n">
        <f aca="false">H9*I9*G9*IF(Assumptions!$C$6="Downside",1-Assumptions!$C$7,1)</f>
        <v>1946880</v>
      </c>
      <c r="O9" s="36" t="n">
        <f aca="false">N9*J9</f>
        <v>1849536</v>
      </c>
      <c r="P9" s="37" t="n">
        <f aca="false">E9*(1-K9)</f>
        <v>36.75</v>
      </c>
      <c r="Q9" s="37" t="n">
        <f aca="false">O9*P9/10000000</f>
        <v>6.7970448</v>
      </c>
      <c r="R9" s="37" t="n">
        <f aca="false">O9*F9/10000000+IF(Assumptions!$C$6="Downside",Q9*Assumptions!$C$8,0)</f>
        <v>4.2539328</v>
      </c>
      <c r="S9" s="37" t="n">
        <f aca="false">Q9*L9</f>
        <v>0.441807912</v>
      </c>
      <c r="T9" s="37" t="n">
        <f aca="false">O9*M9/10000000</f>
        <v>0.1849536</v>
      </c>
      <c r="U9" s="37" t="n">
        <f aca="false">Q9-SUM(R9:T9)</f>
        <v>1.916350488</v>
      </c>
      <c r="V9" s="28" t="n">
        <f aca="false">IFERROR(U9/Q9,0)</f>
        <v>0.281938775510204</v>
      </c>
      <c r="W9" s="25" t="str">
        <f aca="false">Assumptions!F61</f>
        <v>Illustrative (replace with pilot)</v>
      </c>
      <c r="X9" s="25" t="str">
        <f aca="false">Assumptions!C25&amp;" | "&amp;Assumptions!D25</f>
        <v>Everyday Sabzi Masala | 50g pouch</v>
      </c>
    </row>
    <row r="10" customFormat="false" ht="15" hidden="false" customHeight="false" outlineLevel="0" collapsed="false">
      <c r="A10" s="25" t="str">
        <f aca="false">Assumptions!A62</f>
        <v>FY22</v>
      </c>
      <c r="B10" s="25" t="str">
        <f aca="false">Assumptions!B62</f>
        <v>SAB_L</v>
      </c>
      <c r="C10" s="25" t="str">
        <f aca="false">Assumptions!B25</f>
        <v>Spices</v>
      </c>
      <c r="D10" s="25" t="str">
        <f aca="false">Assumptions!C62</f>
        <v>Modern</v>
      </c>
      <c r="E10" s="20" t="n">
        <f aca="false">Assumptions!E25*(1+Assumptions!$C$11)^0</f>
        <v>49</v>
      </c>
      <c r="F10" s="20" t="n">
        <f aca="false">Assumptions!F25*(1+Assumptions!$C$12)^0</f>
        <v>23</v>
      </c>
      <c r="G10" s="25" t="n">
        <f aca="false">Assumptions!G25</f>
        <v>52</v>
      </c>
      <c r="H10" s="33" t="n">
        <f aca="false">Assumptions!D62</f>
        <v>420</v>
      </c>
      <c r="I10" s="34" t="n">
        <f aca="false">Assumptions!E62</f>
        <v>12.48</v>
      </c>
      <c r="J10" s="35" t="n">
        <f aca="false">Assumptions!$C$13</f>
        <v>0.95</v>
      </c>
      <c r="K10" s="35" t="n">
        <f aca="false">Assumptions!B41</f>
        <v>0.28</v>
      </c>
      <c r="L10" s="35" t="n">
        <f aca="false">Assumptions!C41+IF(Assumptions!$C$6="Downside",Assumptions!$C$9,0)</f>
        <v>0.14</v>
      </c>
      <c r="M10" s="25" t="n">
        <f aca="false">Assumptions!E41</f>
        <v>1.7</v>
      </c>
      <c r="N10" s="36" t="n">
        <f aca="false">H10*I10*G10*IF(Assumptions!$C$6="Downside",1-Assumptions!$C$7,1)</f>
        <v>272563.2</v>
      </c>
      <c r="O10" s="36" t="n">
        <f aca="false">N10*J10</f>
        <v>258935.04</v>
      </c>
      <c r="P10" s="37" t="n">
        <f aca="false">E10*(1-K10)</f>
        <v>35.28</v>
      </c>
      <c r="Q10" s="37" t="n">
        <f aca="false">O10*P10/10000000</f>
        <v>0.91352282112</v>
      </c>
      <c r="R10" s="37" t="n">
        <f aca="false">O10*F10/10000000+IF(Assumptions!$C$6="Downside",Q10*Assumptions!$C$8,0)</f>
        <v>0.595550592</v>
      </c>
      <c r="S10" s="37" t="n">
        <f aca="false">Q10*L10</f>
        <v>0.1278931949568</v>
      </c>
      <c r="T10" s="37" t="n">
        <f aca="false">O10*M10/10000000</f>
        <v>0.0440189568</v>
      </c>
      <c r="U10" s="37" t="n">
        <f aca="false">Q10-SUM(R10:T10)</f>
        <v>0.1460600773632</v>
      </c>
      <c r="V10" s="28" t="n">
        <f aca="false">IFERROR(U10/Q10,0)</f>
        <v>0.159886621315193</v>
      </c>
      <c r="W10" s="25" t="str">
        <f aca="false">Assumptions!F62</f>
        <v>Illustrative (replace with pilot)</v>
      </c>
      <c r="X10" s="25" t="str">
        <f aca="false">Assumptions!C25&amp;" | "&amp;Assumptions!D25</f>
        <v>Everyday Sabzi Masala | 50g pouch</v>
      </c>
    </row>
    <row r="11" customFormat="false" ht="15" hidden="false" customHeight="false" outlineLevel="0" collapsed="false">
      <c r="A11" s="25" t="str">
        <f aca="false">Assumptions!A63</f>
        <v>FY22</v>
      </c>
      <c r="B11" s="25" t="str">
        <f aca="false">Assumptions!B63</f>
        <v>SAB_L</v>
      </c>
      <c r="C11" s="25" t="str">
        <f aca="false">Assumptions!B25</f>
        <v>Spices</v>
      </c>
      <c r="D11" s="25" t="str">
        <f aca="false">Assumptions!C63</f>
        <v>QCom</v>
      </c>
      <c r="E11" s="20" t="n">
        <f aca="false">Assumptions!E25*(1+Assumptions!$C$11)^0</f>
        <v>49</v>
      </c>
      <c r="F11" s="20" t="n">
        <f aca="false">Assumptions!F25*(1+Assumptions!$C$12)^0</f>
        <v>23</v>
      </c>
      <c r="G11" s="25" t="n">
        <f aca="false">Assumptions!G25</f>
        <v>52</v>
      </c>
      <c r="H11" s="33" t="n">
        <f aca="false">Assumptions!D63</f>
        <v>168</v>
      </c>
      <c r="I11" s="34" t="n">
        <f aca="false">Assumptions!E63</f>
        <v>37.44</v>
      </c>
      <c r="J11" s="35" t="n">
        <f aca="false">Assumptions!$C$13</f>
        <v>0.95</v>
      </c>
      <c r="K11" s="35" t="n">
        <f aca="false">Assumptions!B42</f>
        <v>0.38</v>
      </c>
      <c r="L11" s="35" t="n">
        <f aca="false">Assumptions!C42+IF(Assumptions!$C$6="Downside",Assumptions!$C$9,0)</f>
        <v>0.24</v>
      </c>
      <c r="M11" s="25" t="n">
        <f aca="false">Assumptions!E42</f>
        <v>2</v>
      </c>
      <c r="N11" s="36" t="n">
        <f aca="false">H11*I11*G11*IF(Assumptions!$C$6="Downside",1-Assumptions!$C$7,1)</f>
        <v>327075.84</v>
      </c>
      <c r="O11" s="36" t="n">
        <f aca="false">N11*J11</f>
        <v>310722.048</v>
      </c>
      <c r="P11" s="37" t="n">
        <f aca="false">E11*(1-K11)</f>
        <v>30.38</v>
      </c>
      <c r="Q11" s="37" t="n">
        <f aca="false">O11*P11/10000000</f>
        <v>0.943973581824</v>
      </c>
      <c r="R11" s="37" t="n">
        <f aca="false">O11*F11/10000000+IF(Assumptions!$C$6="Downside",Q11*Assumptions!$C$8,0)</f>
        <v>0.7146607104</v>
      </c>
      <c r="S11" s="37" t="n">
        <f aca="false">Q11*L11</f>
        <v>0.22655365963776</v>
      </c>
      <c r="T11" s="37" t="n">
        <f aca="false">O11*M11/10000000</f>
        <v>0.0621444096</v>
      </c>
      <c r="U11" s="37" t="n">
        <f aca="false">Q11-SUM(R11:T11)</f>
        <v>-0.0593851978137598</v>
      </c>
      <c r="V11" s="28" t="n">
        <f aca="false">IFERROR(U11/Q11,0)</f>
        <v>-0.0629098090849241</v>
      </c>
      <c r="W11" s="25" t="str">
        <f aca="false">Assumptions!F63</f>
        <v>Illustrative (replace with pilot)</v>
      </c>
      <c r="X11" s="25" t="str">
        <f aca="false">Assumptions!C25&amp;" | "&amp;Assumptions!D25</f>
        <v>Everyday Sabzi Masala | 50g pouch</v>
      </c>
    </row>
    <row r="12" customFormat="false" ht="15" hidden="false" customHeight="false" outlineLevel="0" collapsed="false">
      <c r="A12" s="25" t="str">
        <f aca="false">Assumptions!A64</f>
        <v>FY22</v>
      </c>
      <c r="B12" s="25" t="str">
        <f aca="false">Assumptions!B64</f>
        <v>GAR_T</v>
      </c>
      <c r="C12" s="25" t="str">
        <f aca="false">Assumptions!B26</f>
        <v>Spices</v>
      </c>
      <c r="D12" s="25" t="str">
        <f aca="false">Assumptions!C64</f>
        <v>GT</v>
      </c>
      <c r="E12" s="20" t="n">
        <f aca="false">Assumptions!E26*(1+Assumptions!$C$11)^0</f>
        <v>10</v>
      </c>
      <c r="F12" s="20" t="n">
        <f aca="false">Assumptions!F26*(1+Assumptions!$C$12)^0</f>
        <v>5.35</v>
      </c>
      <c r="G12" s="25" t="n">
        <f aca="false">Assumptions!G26</f>
        <v>52</v>
      </c>
      <c r="H12" s="33" t="n">
        <f aca="false">Assumptions!D64</f>
        <v>9120</v>
      </c>
      <c r="I12" s="34" t="n">
        <f aca="false">Assumptions!E64</f>
        <v>2.22</v>
      </c>
      <c r="J12" s="35" t="n">
        <f aca="false">Assumptions!$C$13</f>
        <v>0.95</v>
      </c>
      <c r="K12" s="35" t="n">
        <f aca="false">Assumptions!B40</f>
        <v>0.25</v>
      </c>
      <c r="L12" s="35" t="n">
        <f aca="false">Assumptions!C40+IF(Assumptions!$C$6="Downside",Assumptions!$C$9,0)</f>
        <v>0.065</v>
      </c>
      <c r="M12" s="25" t="n">
        <f aca="false">Assumptions!E40</f>
        <v>1</v>
      </c>
      <c r="N12" s="36" t="n">
        <f aca="false">H12*I12*G12*IF(Assumptions!$C$6="Downside",1-Assumptions!$C$7,1)</f>
        <v>1052812.8</v>
      </c>
      <c r="O12" s="36" t="n">
        <f aca="false">N12*J12</f>
        <v>1000172.16</v>
      </c>
      <c r="P12" s="37" t="n">
        <f aca="false">E12*(1-K12)</f>
        <v>7.5</v>
      </c>
      <c r="Q12" s="37" t="n">
        <f aca="false">O12*P12/10000000</f>
        <v>0.75012912</v>
      </c>
      <c r="R12" s="37" t="n">
        <f aca="false">O12*F12/10000000+IF(Assumptions!$C$6="Downside",Q12*Assumptions!$C$8,0)</f>
        <v>0.5350921056</v>
      </c>
      <c r="S12" s="37" t="n">
        <f aca="false">Q12*L12</f>
        <v>0.0487583928</v>
      </c>
      <c r="T12" s="37" t="n">
        <f aca="false">O12*M12/10000000</f>
        <v>0.100017216</v>
      </c>
      <c r="U12" s="37" t="n">
        <f aca="false">Q12-SUM(R12:T12)</f>
        <v>0.0662614055999999</v>
      </c>
      <c r="V12" s="28" t="n">
        <f aca="false">IFERROR(U12/Q12,0)</f>
        <v>0.0883333333333333</v>
      </c>
      <c r="W12" s="25" t="str">
        <f aca="false">Assumptions!F64</f>
        <v>Illustrative (replace with pilot)</v>
      </c>
      <c r="X12" s="25" t="str">
        <f aca="false">Assumptions!C26&amp;" | "&amp;Assumptions!D26</f>
        <v>Garam Masala | 5g trial</v>
      </c>
    </row>
    <row r="13" customFormat="false" ht="15" hidden="false" customHeight="false" outlineLevel="0" collapsed="false">
      <c r="A13" s="25" t="str">
        <f aca="false">Assumptions!A65</f>
        <v>FY22</v>
      </c>
      <c r="B13" s="25" t="str">
        <f aca="false">Assumptions!B65</f>
        <v>GAR_T</v>
      </c>
      <c r="C13" s="25" t="str">
        <f aca="false">Assumptions!B26</f>
        <v>Spices</v>
      </c>
      <c r="D13" s="25" t="str">
        <f aca="false">Assumptions!C65</f>
        <v>Modern</v>
      </c>
      <c r="E13" s="20" t="n">
        <f aca="false">Assumptions!E26*(1+Assumptions!$C$11)^0</f>
        <v>10</v>
      </c>
      <c r="F13" s="20" t="n">
        <f aca="false">Assumptions!F26*(1+Assumptions!$C$12)^0</f>
        <v>5.35</v>
      </c>
      <c r="G13" s="25" t="n">
        <f aca="false">Assumptions!G26</f>
        <v>52</v>
      </c>
      <c r="H13" s="33" t="n">
        <f aca="false">Assumptions!D65</f>
        <v>319</v>
      </c>
      <c r="I13" s="34" t="n">
        <f aca="false">Assumptions!E65</f>
        <v>8.88</v>
      </c>
      <c r="J13" s="35" t="n">
        <f aca="false">Assumptions!$C$13</f>
        <v>0.95</v>
      </c>
      <c r="K13" s="35" t="n">
        <f aca="false">Assumptions!B41</f>
        <v>0.28</v>
      </c>
      <c r="L13" s="35" t="n">
        <f aca="false">Assumptions!C41+IF(Assumptions!$C$6="Downside",Assumptions!$C$9,0)</f>
        <v>0.14</v>
      </c>
      <c r="M13" s="25" t="n">
        <f aca="false">Assumptions!E41</f>
        <v>1.7</v>
      </c>
      <c r="N13" s="36" t="n">
        <f aca="false">H13*I13*G13*IF(Assumptions!$C$6="Downside",1-Assumptions!$C$7,1)</f>
        <v>147301.44</v>
      </c>
      <c r="O13" s="36" t="n">
        <f aca="false">N13*J13</f>
        <v>139936.368</v>
      </c>
      <c r="P13" s="37" t="n">
        <f aca="false">E13*(1-K13)</f>
        <v>7.2</v>
      </c>
      <c r="Q13" s="37" t="n">
        <f aca="false">O13*P13/10000000</f>
        <v>0.10075418496</v>
      </c>
      <c r="R13" s="37" t="n">
        <f aca="false">O13*F13/10000000+IF(Assumptions!$C$6="Downside",Q13*Assumptions!$C$8,0)</f>
        <v>0.07486595688</v>
      </c>
      <c r="S13" s="37" t="n">
        <f aca="false">Q13*L13</f>
        <v>0.0141055858944</v>
      </c>
      <c r="T13" s="37" t="n">
        <f aca="false">O13*M13/10000000</f>
        <v>0.02378918256</v>
      </c>
      <c r="U13" s="37" t="n">
        <f aca="false">Q13-SUM(R13:T13)</f>
        <v>-0.0120065403744</v>
      </c>
      <c r="V13" s="28" t="n">
        <f aca="false">IFERROR(U13/Q13,0)</f>
        <v>-0.119166666666667</v>
      </c>
      <c r="W13" s="25" t="str">
        <f aca="false">Assumptions!F65</f>
        <v>Illustrative (replace with pilot)</v>
      </c>
      <c r="X13" s="25" t="str">
        <f aca="false">Assumptions!C26&amp;" | "&amp;Assumptions!D26</f>
        <v>Garam Masala | 5g trial</v>
      </c>
    </row>
    <row r="14" customFormat="false" ht="15" hidden="false" customHeight="false" outlineLevel="0" collapsed="false">
      <c r="A14" s="25" t="str">
        <f aca="false">Assumptions!A66</f>
        <v>FY22</v>
      </c>
      <c r="B14" s="25" t="str">
        <f aca="false">Assumptions!B66</f>
        <v>GAR_T</v>
      </c>
      <c r="C14" s="25" t="str">
        <f aca="false">Assumptions!B26</f>
        <v>Spices</v>
      </c>
      <c r="D14" s="25" t="str">
        <f aca="false">Assumptions!C66</f>
        <v>QCom</v>
      </c>
      <c r="E14" s="20" t="n">
        <f aca="false">Assumptions!E26*(1+Assumptions!$C$11)^0</f>
        <v>10</v>
      </c>
      <c r="F14" s="20" t="n">
        <f aca="false">Assumptions!F26*(1+Assumptions!$C$12)^0</f>
        <v>5.35</v>
      </c>
      <c r="G14" s="25" t="n">
        <f aca="false">Assumptions!G26</f>
        <v>52</v>
      </c>
      <c r="H14" s="33" t="n">
        <f aca="false">Assumptions!D66</f>
        <v>128</v>
      </c>
      <c r="I14" s="34" t="n">
        <f aca="false">Assumptions!E66</f>
        <v>26.64</v>
      </c>
      <c r="J14" s="35" t="n">
        <f aca="false">Assumptions!$C$13</f>
        <v>0.95</v>
      </c>
      <c r="K14" s="35" t="n">
        <f aca="false">Assumptions!B42</f>
        <v>0.38</v>
      </c>
      <c r="L14" s="35" t="n">
        <f aca="false">Assumptions!C42+IF(Assumptions!$C$6="Downside",Assumptions!$C$9,0)</f>
        <v>0.24</v>
      </c>
      <c r="M14" s="25" t="n">
        <f aca="false">Assumptions!E42</f>
        <v>2</v>
      </c>
      <c r="N14" s="36" t="n">
        <f aca="false">H14*I14*G14*IF(Assumptions!$C$6="Downside",1-Assumptions!$C$7,1)</f>
        <v>177315.84</v>
      </c>
      <c r="O14" s="36" t="n">
        <f aca="false">N14*J14</f>
        <v>168450.048</v>
      </c>
      <c r="P14" s="37" t="n">
        <f aca="false">E14*(1-K14)</f>
        <v>6.2</v>
      </c>
      <c r="Q14" s="37" t="n">
        <f aca="false">O14*P14/10000000</f>
        <v>0.10443902976</v>
      </c>
      <c r="R14" s="37" t="n">
        <f aca="false">O14*F14/10000000+IF(Assumptions!$C$6="Downside",Q14*Assumptions!$C$8,0)</f>
        <v>0.09012077568</v>
      </c>
      <c r="S14" s="37" t="n">
        <f aca="false">Q14*L14</f>
        <v>0.0250653671424</v>
      </c>
      <c r="T14" s="37" t="n">
        <f aca="false">O14*M14/10000000</f>
        <v>0.0336900096</v>
      </c>
      <c r="U14" s="37" t="n">
        <f aca="false">Q14-SUM(R14:T14)</f>
        <v>-0.0444371226624</v>
      </c>
      <c r="V14" s="28" t="n">
        <f aca="false">IFERROR(U14/Q14,0)</f>
        <v>-0.425483870967742</v>
      </c>
      <c r="W14" s="25" t="str">
        <f aca="false">Assumptions!F66</f>
        <v>Illustrative (replace with pilot)</v>
      </c>
      <c r="X14" s="25" t="str">
        <f aca="false">Assumptions!C26&amp;" | "&amp;Assumptions!D26</f>
        <v>Garam Masala | 5g trial</v>
      </c>
    </row>
    <row r="15" customFormat="false" ht="15" hidden="false" customHeight="false" outlineLevel="0" collapsed="false">
      <c r="A15" s="25" t="str">
        <f aca="false">Assumptions!A67</f>
        <v>FY22</v>
      </c>
      <c r="B15" s="25" t="str">
        <f aca="false">Assumptions!B67</f>
        <v>GAR_L</v>
      </c>
      <c r="C15" s="25" t="str">
        <f aca="false">Assumptions!B27</f>
        <v>Spices</v>
      </c>
      <c r="D15" s="25" t="str">
        <f aca="false">Assumptions!C67</f>
        <v>GT</v>
      </c>
      <c r="E15" s="20" t="n">
        <f aca="false">Assumptions!E27*(1+Assumptions!$C$11)^0</f>
        <v>49</v>
      </c>
      <c r="F15" s="20" t="n">
        <f aca="false">Assumptions!F27*(1+Assumptions!$C$12)^0</f>
        <v>23.5</v>
      </c>
      <c r="G15" s="25" t="n">
        <f aca="false">Assumptions!G27</f>
        <v>52</v>
      </c>
      <c r="H15" s="33" t="n">
        <f aca="false">Assumptions!D67</f>
        <v>11200</v>
      </c>
      <c r="I15" s="34" t="n">
        <f aca="false">Assumptions!E67</f>
        <v>2.64</v>
      </c>
      <c r="J15" s="35" t="n">
        <f aca="false">Assumptions!$C$13</f>
        <v>0.95</v>
      </c>
      <c r="K15" s="35" t="n">
        <f aca="false">Assumptions!B40</f>
        <v>0.25</v>
      </c>
      <c r="L15" s="35" t="n">
        <f aca="false">Assumptions!C40+IF(Assumptions!$C$6="Downside",Assumptions!$C$9,0)</f>
        <v>0.065</v>
      </c>
      <c r="M15" s="25" t="n">
        <f aca="false">Assumptions!E40</f>
        <v>1</v>
      </c>
      <c r="N15" s="36" t="n">
        <f aca="false">H15*I15*G15*IF(Assumptions!$C$6="Downside",1-Assumptions!$C$7,1)</f>
        <v>1537536</v>
      </c>
      <c r="O15" s="36" t="n">
        <f aca="false">N15*J15</f>
        <v>1460659.2</v>
      </c>
      <c r="P15" s="37" t="n">
        <f aca="false">E15*(1-K15)</f>
        <v>36.75</v>
      </c>
      <c r="Q15" s="37" t="n">
        <f aca="false">O15*P15/10000000</f>
        <v>5.36792256</v>
      </c>
      <c r="R15" s="37" t="n">
        <f aca="false">O15*F15/10000000+IF(Assumptions!$C$6="Downside",Q15*Assumptions!$C$8,0)</f>
        <v>3.43254912</v>
      </c>
      <c r="S15" s="37" t="n">
        <f aca="false">Q15*L15</f>
        <v>0.3489149664</v>
      </c>
      <c r="T15" s="37" t="n">
        <f aca="false">O15*M15/10000000</f>
        <v>0.14606592</v>
      </c>
      <c r="U15" s="37" t="n">
        <f aca="false">Q15-SUM(R15:T15)</f>
        <v>1.4403925536</v>
      </c>
      <c r="V15" s="28" t="n">
        <f aca="false">IFERROR(U15/Q15,0)</f>
        <v>0.268333333333333</v>
      </c>
      <c r="W15" s="25" t="str">
        <f aca="false">Assumptions!F67</f>
        <v>Illustrative (replace with pilot)</v>
      </c>
      <c r="X15" s="25" t="str">
        <f aca="false">Assumptions!C27&amp;" | "&amp;Assumptions!D27</f>
        <v>Garam Masala | 50g pouch</v>
      </c>
    </row>
    <row r="16" customFormat="false" ht="15" hidden="false" customHeight="false" outlineLevel="0" collapsed="false">
      <c r="A16" s="25" t="str">
        <f aca="false">Assumptions!A68</f>
        <v>FY22</v>
      </c>
      <c r="B16" s="25" t="str">
        <f aca="false">Assumptions!B68</f>
        <v>GAR_L</v>
      </c>
      <c r="C16" s="25" t="str">
        <f aca="false">Assumptions!B27</f>
        <v>Spices</v>
      </c>
      <c r="D16" s="25" t="str">
        <f aca="false">Assumptions!C68</f>
        <v>Modern</v>
      </c>
      <c r="E16" s="20" t="n">
        <f aca="false">Assumptions!E27*(1+Assumptions!$C$11)^0</f>
        <v>49</v>
      </c>
      <c r="F16" s="20" t="n">
        <f aca="false">Assumptions!F27*(1+Assumptions!$C$12)^0</f>
        <v>23.5</v>
      </c>
      <c r="G16" s="25" t="n">
        <f aca="false">Assumptions!G27</f>
        <v>52</v>
      </c>
      <c r="H16" s="33" t="n">
        <f aca="false">Assumptions!D68</f>
        <v>392</v>
      </c>
      <c r="I16" s="34" t="n">
        <f aca="false">Assumptions!E68</f>
        <v>10.56</v>
      </c>
      <c r="J16" s="35" t="n">
        <f aca="false">Assumptions!$C$13</f>
        <v>0.95</v>
      </c>
      <c r="K16" s="35" t="n">
        <f aca="false">Assumptions!B41</f>
        <v>0.28</v>
      </c>
      <c r="L16" s="35" t="n">
        <f aca="false">Assumptions!C41+IF(Assumptions!$C$6="Downside",Assumptions!$C$9,0)</f>
        <v>0.14</v>
      </c>
      <c r="M16" s="25" t="n">
        <f aca="false">Assumptions!E41</f>
        <v>1.7</v>
      </c>
      <c r="N16" s="36" t="n">
        <f aca="false">H16*I16*G16*IF(Assumptions!$C$6="Downside",1-Assumptions!$C$7,1)</f>
        <v>215255.04</v>
      </c>
      <c r="O16" s="36" t="n">
        <f aca="false">N16*J16</f>
        <v>204492.288</v>
      </c>
      <c r="P16" s="37" t="n">
        <f aca="false">E16*(1-K16)</f>
        <v>35.28</v>
      </c>
      <c r="Q16" s="37" t="n">
        <f aca="false">O16*P16/10000000</f>
        <v>0.721448792064</v>
      </c>
      <c r="R16" s="37" t="n">
        <f aca="false">O16*F16/10000000+IF(Assumptions!$C$6="Downside",Q16*Assumptions!$C$8,0)</f>
        <v>0.4805568768</v>
      </c>
      <c r="S16" s="37" t="n">
        <f aca="false">Q16*L16</f>
        <v>0.10100283088896</v>
      </c>
      <c r="T16" s="37" t="n">
        <f aca="false">O16*M16/10000000</f>
        <v>0.03476368896</v>
      </c>
      <c r="U16" s="37" t="n">
        <f aca="false">Q16-SUM(R16:T16)</f>
        <v>0.10512539541504</v>
      </c>
      <c r="V16" s="28" t="n">
        <f aca="false">IFERROR(U16/Q16,0)</f>
        <v>0.145714285714286</v>
      </c>
      <c r="W16" s="25" t="str">
        <f aca="false">Assumptions!F68</f>
        <v>Illustrative (replace with pilot)</v>
      </c>
      <c r="X16" s="25" t="str">
        <f aca="false">Assumptions!C27&amp;" | "&amp;Assumptions!D27</f>
        <v>Garam Masala | 50g pouch</v>
      </c>
    </row>
    <row r="17" customFormat="false" ht="15" hidden="false" customHeight="false" outlineLevel="0" collapsed="false">
      <c r="A17" s="25" t="str">
        <f aca="false">Assumptions!A69</f>
        <v>FY22</v>
      </c>
      <c r="B17" s="25" t="str">
        <f aca="false">Assumptions!B69</f>
        <v>GAR_L</v>
      </c>
      <c r="C17" s="25" t="str">
        <f aca="false">Assumptions!B27</f>
        <v>Spices</v>
      </c>
      <c r="D17" s="25" t="str">
        <f aca="false">Assumptions!C69</f>
        <v>QCom</v>
      </c>
      <c r="E17" s="20" t="n">
        <f aca="false">Assumptions!E27*(1+Assumptions!$C$11)^0</f>
        <v>49</v>
      </c>
      <c r="F17" s="20" t="n">
        <f aca="false">Assumptions!F27*(1+Assumptions!$C$12)^0</f>
        <v>23.5</v>
      </c>
      <c r="G17" s="25" t="n">
        <f aca="false">Assumptions!G27</f>
        <v>52</v>
      </c>
      <c r="H17" s="33" t="n">
        <f aca="false">Assumptions!D69</f>
        <v>157</v>
      </c>
      <c r="I17" s="34" t="n">
        <f aca="false">Assumptions!E69</f>
        <v>31.68</v>
      </c>
      <c r="J17" s="35" t="n">
        <f aca="false">Assumptions!$C$13</f>
        <v>0.95</v>
      </c>
      <c r="K17" s="35" t="n">
        <f aca="false">Assumptions!B42</f>
        <v>0.38</v>
      </c>
      <c r="L17" s="35" t="n">
        <f aca="false">Assumptions!C42+IF(Assumptions!$C$6="Downside",Assumptions!$C$9,0)</f>
        <v>0.24</v>
      </c>
      <c r="M17" s="25" t="n">
        <f aca="false">Assumptions!E42</f>
        <v>2</v>
      </c>
      <c r="N17" s="36" t="n">
        <f aca="false">H17*I17*G17*IF(Assumptions!$C$6="Downside",1-Assumptions!$C$7,1)</f>
        <v>258635.52</v>
      </c>
      <c r="O17" s="36" t="n">
        <f aca="false">N17*J17</f>
        <v>245703.744</v>
      </c>
      <c r="P17" s="37" t="n">
        <f aca="false">E17*(1-K17)</f>
        <v>30.38</v>
      </c>
      <c r="Q17" s="37" t="n">
        <f aca="false">O17*P17/10000000</f>
        <v>0.746447974272</v>
      </c>
      <c r="R17" s="37" t="n">
        <f aca="false">O17*F17/10000000+IF(Assumptions!$C$6="Downside",Q17*Assumptions!$C$8,0)</f>
        <v>0.5774037984</v>
      </c>
      <c r="S17" s="37" t="n">
        <f aca="false">Q17*L17</f>
        <v>0.17914751382528</v>
      </c>
      <c r="T17" s="37" t="n">
        <f aca="false">O17*M17/10000000</f>
        <v>0.0491407488</v>
      </c>
      <c r="U17" s="37" t="n">
        <f aca="false">Q17-SUM(R17:T17)</f>
        <v>-0.0592440867532801</v>
      </c>
      <c r="V17" s="28" t="n">
        <f aca="false">IFERROR(U17/Q17,0)</f>
        <v>-0.0793680052666229</v>
      </c>
      <c r="W17" s="25" t="str">
        <f aca="false">Assumptions!F69</f>
        <v>Illustrative (replace with pilot)</v>
      </c>
      <c r="X17" s="25" t="str">
        <f aca="false">Assumptions!C27&amp;" | "&amp;Assumptions!D27</f>
        <v>Garam Masala | 50g pouch</v>
      </c>
    </row>
    <row r="18" customFormat="false" ht="15" hidden="false" customHeight="false" outlineLevel="0" collapsed="false">
      <c r="A18" s="25" t="str">
        <f aca="false">Assumptions!A70</f>
        <v>FY22</v>
      </c>
      <c r="B18" s="25" t="str">
        <f aca="false">Assumptions!B70</f>
        <v>GIN_T</v>
      </c>
      <c r="C18" s="25" t="str">
        <f aca="false">Assumptions!B28</f>
        <v>Premixes</v>
      </c>
      <c r="D18" s="25" t="str">
        <f aca="false">Assumptions!C70</f>
        <v>GT</v>
      </c>
      <c r="E18" s="20" t="n">
        <f aca="false">Assumptions!E28*(1+Assumptions!$C$11)^0</f>
        <v>10</v>
      </c>
      <c r="F18" s="20" t="n">
        <f aca="false">Assumptions!F28*(1+Assumptions!$C$12)^0</f>
        <v>4.35</v>
      </c>
      <c r="G18" s="25" t="n">
        <f aca="false">Assumptions!G28</f>
        <v>26</v>
      </c>
      <c r="H18" s="33" t="n">
        <f aca="false">Assumptions!D70</f>
        <v>8320</v>
      </c>
      <c r="I18" s="34" t="n">
        <f aca="false">Assumptions!E70</f>
        <v>3.12</v>
      </c>
      <c r="J18" s="35" t="n">
        <f aca="false">Assumptions!$C$13</f>
        <v>0.95</v>
      </c>
      <c r="K18" s="35" t="n">
        <f aca="false">Assumptions!B40</f>
        <v>0.25</v>
      </c>
      <c r="L18" s="35" t="n">
        <f aca="false">Assumptions!C40+IF(Assumptions!$C$6="Downside",Assumptions!$C$9,0)</f>
        <v>0.065</v>
      </c>
      <c r="M18" s="25" t="n">
        <f aca="false">Assumptions!E40</f>
        <v>1</v>
      </c>
      <c r="N18" s="36" t="n">
        <f aca="false">H18*I18*G18*IF(Assumptions!$C$6="Downside",1-Assumptions!$C$7,1)</f>
        <v>674918.4</v>
      </c>
      <c r="O18" s="36" t="n">
        <f aca="false">N18*J18</f>
        <v>641172.48</v>
      </c>
      <c r="P18" s="37" t="n">
        <f aca="false">E18*(1-K18)</f>
        <v>7.5</v>
      </c>
      <c r="Q18" s="37" t="n">
        <f aca="false">O18*P18/10000000</f>
        <v>0.48087936</v>
      </c>
      <c r="R18" s="37" t="n">
        <f aca="false">O18*F18/10000000+IF(Assumptions!$C$6="Downside",Q18*Assumptions!$C$8,0)</f>
        <v>0.2789100288</v>
      </c>
      <c r="S18" s="37" t="n">
        <f aca="false">Q18*L18</f>
        <v>0.0312571584</v>
      </c>
      <c r="T18" s="37" t="n">
        <f aca="false">O18*M18/10000000</f>
        <v>0.064117248</v>
      </c>
      <c r="U18" s="37" t="n">
        <f aca="false">Q18-SUM(R18:T18)</f>
        <v>0.1065949248</v>
      </c>
      <c r="V18" s="28" t="n">
        <f aca="false">IFERROR(U18/Q18,0)</f>
        <v>0.221666666666667</v>
      </c>
      <c r="W18" s="25" t="str">
        <f aca="false">Assumptions!F70</f>
        <v>Illustrative (replace with pilot)</v>
      </c>
      <c r="X18" s="25" t="str">
        <f aca="false">Assumptions!C28&amp;" | "&amp;Assumptions!D28</f>
        <v>Ginger-Lemon Hot Drink | 15g single sachet</v>
      </c>
    </row>
    <row r="19" customFormat="false" ht="15" hidden="false" customHeight="false" outlineLevel="0" collapsed="false">
      <c r="A19" s="25" t="str">
        <f aca="false">Assumptions!A71</f>
        <v>FY22</v>
      </c>
      <c r="B19" s="25" t="str">
        <f aca="false">Assumptions!B71</f>
        <v>GIN_T</v>
      </c>
      <c r="C19" s="25" t="str">
        <f aca="false">Assumptions!B28</f>
        <v>Premixes</v>
      </c>
      <c r="D19" s="25" t="str">
        <f aca="false">Assumptions!C71</f>
        <v>Modern</v>
      </c>
      <c r="E19" s="20" t="n">
        <f aca="false">Assumptions!E28*(1+Assumptions!$C$11)^0</f>
        <v>10</v>
      </c>
      <c r="F19" s="20" t="n">
        <f aca="false">Assumptions!F28*(1+Assumptions!$C$12)^0</f>
        <v>4.35</v>
      </c>
      <c r="G19" s="25" t="n">
        <f aca="false">Assumptions!G28</f>
        <v>26</v>
      </c>
      <c r="H19" s="33" t="n">
        <f aca="false">Assumptions!D71</f>
        <v>291</v>
      </c>
      <c r="I19" s="34" t="n">
        <f aca="false">Assumptions!E71</f>
        <v>12.48</v>
      </c>
      <c r="J19" s="35" t="n">
        <f aca="false">Assumptions!$C$13</f>
        <v>0.95</v>
      </c>
      <c r="K19" s="35" t="n">
        <f aca="false">Assumptions!B41</f>
        <v>0.28</v>
      </c>
      <c r="L19" s="35" t="n">
        <f aca="false">Assumptions!C41+IF(Assumptions!$C$6="Downside",Assumptions!$C$9,0)</f>
        <v>0.14</v>
      </c>
      <c r="M19" s="25" t="n">
        <f aca="false">Assumptions!E41</f>
        <v>1.7</v>
      </c>
      <c r="N19" s="36" t="n">
        <f aca="false">H19*I19*G19*IF(Assumptions!$C$6="Downside",1-Assumptions!$C$7,1)</f>
        <v>94423.68</v>
      </c>
      <c r="O19" s="36" t="n">
        <f aca="false">N19*J19</f>
        <v>89702.496</v>
      </c>
      <c r="P19" s="37" t="n">
        <f aca="false">E19*(1-K19)</f>
        <v>7.2</v>
      </c>
      <c r="Q19" s="37" t="n">
        <f aca="false">O19*P19/10000000</f>
        <v>0.06458579712</v>
      </c>
      <c r="R19" s="37" t="n">
        <f aca="false">O19*F19/10000000+IF(Assumptions!$C$6="Downside",Q19*Assumptions!$C$8,0)</f>
        <v>0.03902058576</v>
      </c>
      <c r="S19" s="37" t="n">
        <f aca="false">Q19*L19</f>
        <v>0.0090420115968</v>
      </c>
      <c r="T19" s="37" t="n">
        <f aca="false">O19*M19/10000000</f>
        <v>0.01524942432</v>
      </c>
      <c r="U19" s="37" t="n">
        <f aca="false">Q19-SUM(R19:T19)</f>
        <v>0.0012737754432</v>
      </c>
      <c r="V19" s="28" t="n">
        <f aca="false">IFERROR(U19/Q19,0)</f>
        <v>0.0197222222222222</v>
      </c>
      <c r="W19" s="25" t="str">
        <f aca="false">Assumptions!F71</f>
        <v>Illustrative (replace with pilot)</v>
      </c>
      <c r="X19" s="25" t="str">
        <f aca="false">Assumptions!C28&amp;" | "&amp;Assumptions!D28</f>
        <v>Ginger-Lemon Hot Drink | 15g single sachet</v>
      </c>
    </row>
    <row r="20" customFormat="false" ht="15" hidden="false" customHeight="false" outlineLevel="0" collapsed="false">
      <c r="A20" s="25" t="str">
        <f aca="false">Assumptions!A72</f>
        <v>FY22</v>
      </c>
      <c r="B20" s="25" t="str">
        <f aca="false">Assumptions!B72</f>
        <v>GIN_T</v>
      </c>
      <c r="C20" s="25" t="str">
        <f aca="false">Assumptions!B28</f>
        <v>Premixes</v>
      </c>
      <c r="D20" s="25" t="str">
        <f aca="false">Assumptions!C72</f>
        <v>QCom</v>
      </c>
      <c r="E20" s="20" t="n">
        <f aca="false">Assumptions!E28*(1+Assumptions!$C$11)^0</f>
        <v>10</v>
      </c>
      <c r="F20" s="20" t="n">
        <f aca="false">Assumptions!F28*(1+Assumptions!$C$12)^0</f>
        <v>4.35</v>
      </c>
      <c r="G20" s="25" t="n">
        <f aca="false">Assumptions!G28</f>
        <v>26</v>
      </c>
      <c r="H20" s="33" t="n">
        <f aca="false">Assumptions!D72</f>
        <v>116</v>
      </c>
      <c r="I20" s="34" t="n">
        <f aca="false">Assumptions!E72</f>
        <v>37.44</v>
      </c>
      <c r="J20" s="35" t="n">
        <f aca="false">Assumptions!$C$13</f>
        <v>0.95</v>
      </c>
      <c r="K20" s="35" t="n">
        <f aca="false">Assumptions!B42</f>
        <v>0.38</v>
      </c>
      <c r="L20" s="35" t="n">
        <f aca="false">Assumptions!C42+IF(Assumptions!$C$6="Downside",Assumptions!$C$9,0)</f>
        <v>0.24</v>
      </c>
      <c r="M20" s="25" t="n">
        <f aca="false">Assumptions!E42</f>
        <v>2</v>
      </c>
      <c r="N20" s="36" t="n">
        <f aca="false">H20*I20*G20*IF(Assumptions!$C$6="Downside",1-Assumptions!$C$7,1)</f>
        <v>112919.04</v>
      </c>
      <c r="O20" s="36" t="n">
        <f aca="false">N20*J20</f>
        <v>107273.088</v>
      </c>
      <c r="P20" s="37" t="n">
        <f aca="false">E20*(1-K20)</f>
        <v>6.2</v>
      </c>
      <c r="Q20" s="37" t="n">
        <f aca="false">O20*P20/10000000</f>
        <v>0.06650931456</v>
      </c>
      <c r="R20" s="37" t="n">
        <f aca="false">O20*F20/10000000+IF(Assumptions!$C$6="Downside",Q20*Assumptions!$C$8,0)</f>
        <v>0.04666379328</v>
      </c>
      <c r="S20" s="37" t="n">
        <f aca="false">Q20*L20</f>
        <v>0.0159622354944</v>
      </c>
      <c r="T20" s="37" t="n">
        <f aca="false">O20*M20/10000000</f>
        <v>0.0214546176</v>
      </c>
      <c r="U20" s="37" t="n">
        <f aca="false">Q20-SUM(R20:T20)</f>
        <v>-0.0175713318144</v>
      </c>
      <c r="V20" s="28" t="n">
        <f aca="false">IFERROR(U20/Q20,0)</f>
        <v>-0.264193548387097</v>
      </c>
      <c r="W20" s="25" t="str">
        <f aca="false">Assumptions!F72</f>
        <v>Illustrative (replace with pilot)</v>
      </c>
      <c r="X20" s="25" t="str">
        <f aca="false">Assumptions!C28&amp;" | "&amp;Assumptions!D28</f>
        <v>Ginger-Lemon Hot Drink | 15g single sachet</v>
      </c>
    </row>
    <row r="21" customFormat="false" ht="15" hidden="false" customHeight="false" outlineLevel="0" collapsed="false">
      <c r="A21" s="25" t="str">
        <f aca="false">Assumptions!A73</f>
        <v>FY22</v>
      </c>
      <c r="B21" s="25" t="str">
        <f aca="false">Assumptions!B73</f>
        <v>GIN_L</v>
      </c>
      <c r="C21" s="25" t="str">
        <f aca="false">Assumptions!B29</f>
        <v>Premixes</v>
      </c>
      <c r="D21" s="25" t="str">
        <f aca="false">Assumptions!C73</f>
        <v>GT</v>
      </c>
      <c r="E21" s="20" t="n">
        <f aca="false">Assumptions!E29*(1+Assumptions!$C$11)^0</f>
        <v>99</v>
      </c>
      <c r="F21" s="20" t="n">
        <f aca="false">Assumptions!F29*(1+Assumptions!$C$12)^0</f>
        <v>44</v>
      </c>
      <c r="G21" s="25" t="n">
        <f aca="false">Assumptions!G29</f>
        <v>26</v>
      </c>
      <c r="H21" s="33" t="n">
        <f aca="false">Assumptions!D73</f>
        <v>6240</v>
      </c>
      <c r="I21" s="34" t="n">
        <f aca="false">Assumptions!E73</f>
        <v>2.52</v>
      </c>
      <c r="J21" s="35" t="n">
        <f aca="false">Assumptions!$C$13</f>
        <v>0.95</v>
      </c>
      <c r="K21" s="35" t="n">
        <f aca="false">Assumptions!B40</f>
        <v>0.25</v>
      </c>
      <c r="L21" s="35" t="n">
        <f aca="false">Assumptions!C40+IF(Assumptions!$C$6="Downside",Assumptions!$C$9,0)</f>
        <v>0.065</v>
      </c>
      <c r="M21" s="25" t="n">
        <f aca="false">Assumptions!E40</f>
        <v>1</v>
      </c>
      <c r="N21" s="36" t="n">
        <f aca="false">H21*I21*G21*IF(Assumptions!$C$6="Downside",1-Assumptions!$C$7,1)</f>
        <v>408844.8</v>
      </c>
      <c r="O21" s="36" t="n">
        <f aca="false">N21*J21</f>
        <v>388402.56</v>
      </c>
      <c r="P21" s="37" t="n">
        <f aca="false">E21*(1-K21)</f>
        <v>74.25</v>
      </c>
      <c r="Q21" s="37" t="n">
        <f aca="false">O21*P21/10000000</f>
        <v>2.883889008</v>
      </c>
      <c r="R21" s="37" t="n">
        <f aca="false">O21*F21/10000000+IF(Assumptions!$C$6="Downside",Q21*Assumptions!$C$8,0)</f>
        <v>1.708971264</v>
      </c>
      <c r="S21" s="37" t="n">
        <f aca="false">Q21*L21</f>
        <v>0.18745278552</v>
      </c>
      <c r="T21" s="37" t="n">
        <f aca="false">O21*M21/10000000</f>
        <v>0.038840256</v>
      </c>
      <c r="U21" s="37" t="n">
        <f aca="false">Q21-SUM(R21:T21)</f>
        <v>0.948624702479999</v>
      </c>
      <c r="V21" s="28" t="n">
        <f aca="false">IFERROR(U21/Q21,0)</f>
        <v>0.328939393939394</v>
      </c>
      <c r="W21" s="25" t="str">
        <f aca="false">Assumptions!F73</f>
        <v>Illustrative (replace with pilot)</v>
      </c>
      <c r="X21" s="25" t="str">
        <f aca="false">Assumptions!C29&amp;" | "&amp;Assumptions!D29</f>
        <v>Ginger-Lemon Hot Drink | 10-sachet pack</v>
      </c>
    </row>
    <row r="22" customFormat="false" ht="15" hidden="false" customHeight="false" outlineLevel="0" collapsed="false">
      <c r="A22" s="25" t="str">
        <f aca="false">Assumptions!A74</f>
        <v>FY22</v>
      </c>
      <c r="B22" s="25" t="str">
        <f aca="false">Assumptions!B74</f>
        <v>GIN_L</v>
      </c>
      <c r="C22" s="25" t="str">
        <f aca="false">Assumptions!B29</f>
        <v>Premixes</v>
      </c>
      <c r="D22" s="25" t="str">
        <f aca="false">Assumptions!C74</f>
        <v>Modern</v>
      </c>
      <c r="E22" s="20" t="n">
        <f aca="false">Assumptions!E29*(1+Assumptions!$C$11)^0</f>
        <v>99</v>
      </c>
      <c r="F22" s="20" t="n">
        <f aca="false">Assumptions!F29*(1+Assumptions!$C$12)^0</f>
        <v>44</v>
      </c>
      <c r="G22" s="25" t="n">
        <f aca="false">Assumptions!G29</f>
        <v>26</v>
      </c>
      <c r="H22" s="33" t="n">
        <f aca="false">Assumptions!D74</f>
        <v>218</v>
      </c>
      <c r="I22" s="34" t="n">
        <f aca="false">Assumptions!E74</f>
        <v>10.08</v>
      </c>
      <c r="J22" s="35" t="n">
        <f aca="false">Assumptions!$C$13</f>
        <v>0.95</v>
      </c>
      <c r="K22" s="35" t="n">
        <f aca="false">Assumptions!B41</f>
        <v>0.28</v>
      </c>
      <c r="L22" s="35" t="n">
        <f aca="false">Assumptions!C41+IF(Assumptions!$C$6="Downside",Assumptions!$C$9,0)</f>
        <v>0.14</v>
      </c>
      <c r="M22" s="25" t="n">
        <f aca="false">Assumptions!E41</f>
        <v>1.7</v>
      </c>
      <c r="N22" s="36" t="n">
        <f aca="false">H22*I22*G22*IF(Assumptions!$C$6="Downside",1-Assumptions!$C$7,1)</f>
        <v>57133.44</v>
      </c>
      <c r="O22" s="36" t="n">
        <f aca="false">N22*J22</f>
        <v>54276.768</v>
      </c>
      <c r="P22" s="37" t="n">
        <f aca="false">E22*(1-K22)</f>
        <v>71.28</v>
      </c>
      <c r="Q22" s="37" t="n">
        <f aca="false">O22*P22/10000000</f>
        <v>0.386884802304</v>
      </c>
      <c r="R22" s="37" t="n">
        <f aca="false">O22*F22/10000000+IF(Assumptions!$C$6="Downside",Q22*Assumptions!$C$8,0)</f>
        <v>0.2388177792</v>
      </c>
      <c r="S22" s="37" t="n">
        <f aca="false">Q22*L22</f>
        <v>0.05416387232256</v>
      </c>
      <c r="T22" s="37" t="n">
        <f aca="false">O22*M22/10000000</f>
        <v>0.00922705056</v>
      </c>
      <c r="U22" s="37" t="n">
        <f aca="false">Q22-SUM(R22:T22)</f>
        <v>0.08467610022144</v>
      </c>
      <c r="V22" s="28" t="n">
        <f aca="false">IFERROR(U22/Q22,0)</f>
        <v>0.218866442199775</v>
      </c>
      <c r="W22" s="25" t="str">
        <f aca="false">Assumptions!F74</f>
        <v>Illustrative (replace with pilot)</v>
      </c>
      <c r="X22" s="25" t="str">
        <f aca="false">Assumptions!C29&amp;" | "&amp;Assumptions!D29</f>
        <v>Ginger-Lemon Hot Drink | 10-sachet pack</v>
      </c>
    </row>
    <row r="23" customFormat="false" ht="15" hidden="false" customHeight="false" outlineLevel="0" collapsed="false">
      <c r="A23" s="25" t="str">
        <f aca="false">Assumptions!A75</f>
        <v>FY22</v>
      </c>
      <c r="B23" s="25" t="str">
        <f aca="false">Assumptions!B75</f>
        <v>GIN_L</v>
      </c>
      <c r="C23" s="25" t="str">
        <f aca="false">Assumptions!B29</f>
        <v>Premixes</v>
      </c>
      <c r="D23" s="25" t="str">
        <f aca="false">Assumptions!C75</f>
        <v>QCom</v>
      </c>
      <c r="E23" s="20" t="n">
        <f aca="false">Assumptions!E29*(1+Assumptions!$C$11)^0</f>
        <v>99</v>
      </c>
      <c r="F23" s="20" t="n">
        <f aca="false">Assumptions!F29*(1+Assumptions!$C$12)^0</f>
        <v>44</v>
      </c>
      <c r="G23" s="25" t="n">
        <f aca="false">Assumptions!G29</f>
        <v>26</v>
      </c>
      <c r="H23" s="33" t="n">
        <f aca="false">Assumptions!D75</f>
        <v>87</v>
      </c>
      <c r="I23" s="34" t="n">
        <f aca="false">Assumptions!E75</f>
        <v>30.24</v>
      </c>
      <c r="J23" s="35" t="n">
        <f aca="false">Assumptions!$C$13</f>
        <v>0.95</v>
      </c>
      <c r="K23" s="35" t="n">
        <f aca="false">Assumptions!B42</f>
        <v>0.38</v>
      </c>
      <c r="L23" s="35" t="n">
        <f aca="false">Assumptions!C42+IF(Assumptions!$C$6="Downside",Assumptions!$C$9,0)</f>
        <v>0.24</v>
      </c>
      <c r="M23" s="25" t="n">
        <f aca="false">Assumptions!E42</f>
        <v>2</v>
      </c>
      <c r="N23" s="36" t="n">
        <f aca="false">H23*I23*G23*IF(Assumptions!$C$6="Downside",1-Assumptions!$C$7,1)</f>
        <v>68402.88</v>
      </c>
      <c r="O23" s="36" t="n">
        <f aca="false">N23*J23</f>
        <v>64982.736</v>
      </c>
      <c r="P23" s="37" t="n">
        <f aca="false">E23*(1-K23)</f>
        <v>61.38</v>
      </c>
      <c r="Q23" s="37" t="n">
        <f aca="false">O23*P23/10000000</f>
        <v>0.398864033568</v>
      </c>
      <c r="R23" s="37" t="n">
        <f aca="false">O23*F23/10000000+IF(Assumptions!$C$6="Downside",Q23*Assumptions!$C$8,0)</f>
        <v>0.2859240384</v>
      </c>
      <c r="S23" s="37" t="n">
        <f aca="false">Q23*L23</f>
        <v>0.09572736805632</v>
      </c>
      <c r="T23" s="37" t="n">
        <f aca="false">O23*M23/10000000</f>
        <v>0.0129965472</v>
      </c>
      <c r="U23" s="37" t="n">
        <f aca="false">Q23-SUM(R23:T23)</f>
        <v>0.00421607991167999</v>
      </c>
      <c r="V23" s="28" t="n">
        <f aca="false">IFERROR(U23/Q23,0)</f>
        <v>0.0105702183121538</v>
      </c>
      <c r="W23" s="25" t="str">
        <f aca="false">Assumptions!F75</f>
        <v>Illustrative (replace with pilot)</v>
      </c>
      <c r="X23" s="25" t="str">
        <f aca="false">Assumptions!C29&amp;" | "&amp;Assumptions!D29</f>
        <v>Ginger-Lemon Hot Drink | 10-sachet pack</v>
      </c>
    </row>
    <row r="24" customFormat="false" ht="15" hidden="false" customHeight="false" outlineLevel="0" collapsed="false">
      <c r="A24" s="25" t="str">
        <f aca="false">Assumptions!A76</f>
        <v>FY22</v>
      </c>
      <c r="B24" s="25" t="str">
        <f aca="false">Assumptions!B76</f>
        <v>BAD_T</v>
      </c>
      <c r="C24" s="25" t="str">
        <f aca="false">Assumptions!B30</f>
        <v>Premixes</v>
      </c>
      <c r="D24" s="25" t="str">
        <f aca="false">Assumptions!C76</f>
        <v>GT</v>
      </c>
      <c r="E24" s="20" t="n">
        <f aca="false">Assumptions!E30*(1+Assumptions!$C$11)^0</f>
        <v>10</v>
      </c>
      <c r="F24" s="20" t="n">
        <f aca="false">Assumptions!F30*(1+Assumptions!$C$12)^0</f>
        <v>4.5</v>
      </c>
      <c r="G24" s="25" t="n">
        <f aca="false">Assumptions!G30</f>
        <v>26</v>
      </c>
      <c r="H24" s="33" t="n">
        <f aca="false">Assumptions!D76</f>
        <v>6720</v>
      </c>
      <c r="I24" s="34" t="n">
        <f aca="false">Assumptions!E76</f>
        <v>2.16</v>
      </c>
      <c r="J24" s="35" t="n">
        <f aca="false">Assumptions!$C$13</f>
        <v>0.95</v>
      </c>
      <c r="K24" s="35" t="n">
        <f aca="false">Assumptions!B40</f>
        <v>0.25</v>
      </c>
      <c r="L24" s="35" t="n">
        <f aca="false">Assumptions!C40+IF(Assumptions!$C$6="Downside",Assumptions!$C$9,0)</f>
        <v>0.065</v>
      </c>
      <c r="M24" s="25" t="n">
        <f aca="false">Assumptions!E40</f>
        <v>1</v>
      </c>
      <c r="N24" s="36" t="n">
        <f aca="false">H24*I24*G24*IF(Assumptions!$C$6="Downside",1-Assumptions!$C$7,1)</f>
        <v>377395.2</v>
      </c>
      <c r="O24" s="36" t="n">
        <f aca="false">N24*J24</f>
        <v>358525.44</v>
      </c>
      <c r="P24" s="37" t="n">
        <f aca="false">E24*(1-K24)</f>
        <v>7.5</v>
      </c>
      <c r="Q24" s="37" t="n">
        <f aca="false">O24*P24/10000000</f>
        <v>0.26889408</v>
      </c>
      <c r="R24" s="37" t="n">
        <f aca="false">O24*F24/10000000+IF(Assumptions!$C$6="Downside",Q24*Assumptions!$C$8,0)</f>
        <v>0.161336448</v>
      </c>
      <c r="S24" s="37" t="n">
        <f aca="false">Q24*L24</f>
        <v>0.0174781152</v>
      </c>
      <c r="T24" s="37" t="n">
        <f aca="false">O24*M24/10000000</f>
        <v>0.035852544</v>
      </c>
      <c r="U24" s="37" t="n">
        <f aca="false">Q24-SUM(R24:T24)</f>
        <v>0.0542269728</v>
      </c>
      <c r="V24" s="28" t="n">
        <f aca="false">IFERROR(U24/Q24,0)</f>
        <v>0.201666666666667</v>
      </c>
      <c r="W24" s="25" t="str">
        <f aca="false">Assumptions!F76</f>
        <v>Illustrative (replace with pilot)</v>
      </c>
      <c r="X24" s="25" t="str">
        <f aca="false">Assumptions!C30&amp;" | "&amp;Assumptions!D30</f>
        <v>Badam-Elaichi Milk Mix | 15g single sachet</v>
      </c>
    </row>
    <row r="25" customFormat="false" ht="15" hidden="false" customHeight="false" outlineLevel="0" collapsed="false">
      <c r="A25" s="25" t="str">
        <f aca="false">Assumptions!A77</f>
        <v>FY22</v>
      </c>
      <c r="B25" s="25" t="str">
        <f aca="false">Assumptions!B77</f>
        <v>BAD_T</v>
      </c>
      <c r="C25" s="25" t="str">
        <f aca="false">Assumptions!B30</f>
        <v>Premixes</v>
      </c>
      <c r="D25" s="25" t="str">
        <f aca="false">Assumptions!C77</f>
        <v>Modern</v>
      </c>
      <c r="E25" s="20" t="n">
        <f aca="false">Assumptions!E30*(1+Assumptions!$C$11)^0</f>
        <v>10</v>
      </c>
      <c r="F25" s="20" t="n">
        <f aca="false">Assumptions!F30*(1+Assumptions!$C$12)^0</f>
        <v>4.5</v>
      </c>
      <c r="G25" s="25" t="n">
        <f aca="false">Assumptions!G30</f>
        <v>26</v>
      </c>
      <c r="H25" s="33" t="n">
        <f aca="false">Assumptions!D77</f>
        <v>235</v>
      </c>
      <c r="I25" s="34" t="n">
        <f aca="false">Assumptions!E77</f>
        <v>8.64</v>
      </c>
      <c r="J25" s="35" t="n">
        <f aca="false">Assumptions!$C$13</f>
        <v>0.95</v>
      </c>
      <c r="K25" s="35" t="n">
        <f aca="false">Assumptions!B41</f>
        <v>0.28</v>
      </c>
      <c r="L25" s="35" t="n">
        <f aca="false">Assumptions!C41+IF(Assumptions!$C$6="Downside",Assumptions!$C$9,0)</f>
        <v>0.14</v>
      </c>
      <c r="M25" s="25" t="n">
        <f aca="false">Assumptions!E41</f>
        <v>1.7</v>
      </c>
      <c r="N25" s="36" t="n">
        <f aca="false">H25*I25*G25*IF(Assumptions!$C$6="Downside",1-Assumptions!$C$7,1)</f>
        <v>52790.4</v>
      </c>
      <c r="O25" s="36" t="n">
        <f aca="false">N25*J25</f>
        <v>50150.88</v>
      </c>
      <c r="P25" s="37" t="n">
        <f aca="false">E25*(1-K25)</f>
        <v>7.2</v>
      </c>
      <c r="Q25" s="37" t="n">
        <f aca="false">O25*P25/10000000</f>
        <v>0.0361086336</v>
      </c>
      <c r="R25" s="37" t="n">
        <f aca="false">O25*F25/10000000+IF(Assumptions!$C$6="Downside",Q25*Assumptions!$C$8,0)</f>
        <v>0.022567896</v>
      </c>
      <c r="S25" s="37" t="n">
        <f aca="false">Q25*L25</f>
        <v>0.005055208704</v>
      </c>
      <c r="T25" s="37" t="n">
        <f aca="false">O25*M25/10000000</f>
        <v>0.0085256496</v>
      </c>
      <c r="U25" s="37" t="n">
        <f aca="false">Q25-SUM(R25:T25)</f>
        <v>-4.01207040000018E-005</v>
      </c>
      <c r="V25" s="28" t="n">
        <f aca="false">IFERROR(U25/Q25,0)</f>
        <v>-0.00111111111111116</v>
      </c>
      <c r="W25" s="25" t="str">
        <f aca="false">Assumptions!F77</f>
        <v>Illustrative (replace with pilot)</v>
      </c>
      <c r="X25" s="25" t="str">
        <f aca="false">Assumptions!C30&amp;" | "&amp;Assumptions!D30</f>
        <v>Badam-Elaichi Milk Mix | 15g single sachet</v>
      </c>
    </row>
    <row r="26" customFormat="false" ht="15" hidden="false" customHeight="false" outlineLevel="0" collapsed="false">
      <c r="A26" s="25" t="str">
        <f aca="false">Assumptions!A78</f>
        <v>FY22</v>
      </c>
      <c r="B26" s="25" t="str">
        <f aca="false">Assumptions!B78</f>
        <v>BAD_T</v>
      </c>
      <c r="C26" s="25" t="str">
        <f aca="false">Assumptions!B30</f>
        <v>Premixes</v>
      </c>
      <c r="D26" s="25" t="str">
        <f aca="false">Assumptions!C78</f>
        <v>QCom</v>
      </c>
      <c r="E26" s="20" t="n">
        <f aca="false">Assumptions!E30*(1+Assumptions!$C$11)^0</f>
        <v>10</v>
      </c>
      <c r="F26" s="20" t="n">
        <f aca="false">Assumptions!F30*(1+Assumptions!$C$12)^0</f>
        <v>4.5</v>
      </c>
      <c r="G26" s="25" t="n">
        <f aca="false">Assumptions!G30</f>
        <v>26</v>
      </c>
      <c r="H26" s="33" t="n">
        <f aca="false">Assumptions!D78</f>
        <v>94</v>
      </c>
      <c r="I26" s="34" t="n">
        <f aca="false">Assumptions!E78</f>
        <v>25.92</v>
      </c>
      <c r="J26" s="35" t="n">
        <f aca="false">Assumptions!$C$13</f>
        <v>0.95</v>
      </c>
      <c r="K26" s="35" t="n">
        <f aca="false">Assumptions!B42</f>
        <v>0.38</v>
      </c>
      <c r="L26" s="35" t="n">
        <f aca="false">Assumptions!C42+IF(Assumptions!$C$6="Downside",Assumptions!$C$9,0)</f>
        <v>0.24</v>
      </c>
      <c r="M26" s="25" t="n">
        <f aca="false">Assumptions!E42</f>
        <v>2</v>
      </c>
      <c r="N26" s="36" t="n">
        <f aca="false">H26*I26*G26*IF(Assumptions!$C$6="Downside",1-Assumptions!$C$7,1)</f>
        <v>63348.48</v>
      </c>
      <c r="O26" s="36" t="n">
        <f aca="false">N26*J26</f>
        <v>60181.056</v>
      </c>
      <c r="P26" s="37" t="n">
        <f aca="false">E26*(1-K26)</f>
        <v>6.2</v>
      </c>
      <c r="Q26" s="37" t="n">
        <f aca="false">O26*P26/10000000</f>
        <v>0.03731225472</v>
      </c>
      <c r="R26" s="37" t="n">
        <f aca="false">O26*F26/10000000+IF(Assumptions!$C$6="Downside",Q26*Assumptions!$C$8,0)</f>
        <v>0.0270814752</v>
      </c>
      <c r="S26" s="37" t="n">
        <f aca="false">Q26*L26</f>
        <v>0.0089549411328</v>
      </c>
      <c r="T26" s="37" t="n">
        <f aca="false">O26*M26/10000000</f>
        <v>0.0120362112</v>
      </c>
      <c r="U26" s="37" t="n">
        <f aca="false">Q26-SUM(R26:T26)</f>
        <v>-0.0107603728128</v>
      </c>
      <c r="V26" s="28" t="n">
        <f aca="false">IFERROR(U26/Q26,0)</f>
        <v>-0.288387096774194</v>
      </c>
      <c r="W26" s="25" t="str">
        <f aca="false">Assumptions!F78</f>
        <v>Illustrative (replace with pilot)</v>
      </c>
      <c r="X26" s="25" t="str">
        <f aca="false">Assumptions!C30&amp;" | "&amp;Assumptions!D30</f>
        <v>Badam-Elaichi Milk Mix | 15g single sachet</v>
      </c>
    </row>
    <row r="27" customFormat="false" ht="15" hidden="false" customHeight="false" outlineLevel="0" collapsed="false">
      <c r="A27" s="25" t="str">
        <f aca="false">Assumptions!A79</f>
        <v>FY22</v>
      </c>
      <c r="B27" s="25" t="str">
        <f aca="false">Assumptions!B79</f>
        <v>BAD_L</v>
      </c>
      <c r="C27" s="25" t="str">
        <f aca="false">Assumptions!B31</f>
        <v>Premixes</v>
      </c>
      <c r="D27" s="25" t="str">
        <f aca="false">Assumptions!C79</f>
        <v>GT</v>
      </c>
      <c r="E27" s="20" t="n">
        <f aca="false">Assumptions!E31*(1+Assumptions!$C$11)^0</f>
        <v>99</v>
      </c>
      <c r="F27" s="20" t="n">
        <f aca="false">Assumptions!F31*(1+Assumptions!$C$12)^0</f>
        <v>45.5</v>
      </c>
      <c r="G27" s="25" t="n">
        <f aca="false">Assumptions!G31</f>
        <v>26</v>
      </c>
      <c r="H27" s="33" t="n">
        <f aca="false">Assumptions!D79</f>
        <v>5440</v>
      </c>
      <c r="I27" s="34" t="n">
        <f aca="false">Assumptions!E79</f>
        <v>1.98</v>
      </c>
      <c r="J27" s="35" t="n">
        <f aca="false">Assumptions!$C$13</f>
        <v>0.95</v>
      </c>
      <c r="K27" s="35" t="n">
        <f aca="false">Assumptions!B40</f>
        <v>0.25</v>
      </c>
      <c r="L27" s="35" t="n">
        <f aca="false">Assumptions!C40+IF(Assumptions!$C$6="Downside",Assumptions!$C$9,0)</f>
        <v>0.065</v>
      </c>
      <c r="M27" s="25" t="n">
        <f aca="false">Assumptions!E40</f>
        <v>1</v>
      </c>
      <c r="N27" s="36" t="n">
        <f aca="false">H27*I27*G27*IF(Assumptions!$C$6="Downside",1-Assumptions!$C$7,1)</f>
        <v>280051.2</v>
      </c>
      <c r="O27" s="36" t="n">
        <f aca="false">N27*J27</f>
        <v>266048.64</v>
      </c>
      <c r="P27" s="37" t="n">
        <f aca="false">E27*(1-K27)</f>
        <v>74.25</v>
      </c>
      <c r="Q27" s="37" t="n">
        <f aca="false">O27*P27/10000000</f>
        <v>1.975411152</v>
      </c>
      <c r="R27" s="37" t="n">
        <f aca="false">O27*F27/10000000+IF(Assumptions!$C$6="Downside",Q27*Assumptions!$C$8,0)</f>
        <v>1.210521312</v>
      </c>
      <c r="S27" s="37" t="n">
        <f aca="false">Q27*L27</f>
        <v>0.12840172488</v>
      </c>
      <c r="T27" s="37" t="n">
        <f aca="false">O27*M27/10000000</f>
        <v>0.026604864</v>
      </c>
      <c r="U27" s="37" t="n">
        <f aca="false">Q27-SUM(R27:T27)</f>
        <v>0.60988325112</v>
      </c>
      <c r="V27" s="28" t="n">
        <f aca="false">IFERROR(U27/Q27,0)</f>
        <v>0.308737373737374</v>
      </c>
      <c r="W27" s="25" t="str">
        <f aca="false">Assumptions!F79</f>
        <v>Illustrative (replace with pilot)</v>
      </c>
      <c r="X27" s="25" t="str">
        <f aca="false">Assumptions!C31&amp;" | "&amp;Assumptions!D31</f>
        <v>Badam-Elaichi Milk Mix | 150g pouch</v>
      </c>
    </row>
    <row r="28" customFormat="false" ht="15" hidden="false" customHeight="false" outlineLevel="0" collapsed="false">
      <c r="A28" s="25" t="str">
        <f aca="false">Assumptions!A80</f>
        <v>FY22</v>
      </c>
      <c r="B28" s="25" t="str">
        <f aca="false">Assumptions!B80</f>
        <v>BAD_L</v>
      </c>
      <c r="C28" s="25" t="str">
        <f aca="false">Assumptions!B31</f>
        <v>Premixes</v>
      </c>
      <c r="D28" s="25" t="str">
        <f aca="false">Assumptions!C80</f>
        <v>Modern</v>
      </c>
      <c r="E28" s="20" t="n">
        <f aca="false">Assumptions!E31*(1+Assumptions!$C$11)^0</f>
        <v>99</v>
      </c>
      <c r="F28" s="20" t="n">
        <f aca="false">Assumptions!F31*(1+Assumptions!$C$12)^0</f>
        <v>45.5</v>
      </c>
      <c r="G28" s="25" t="n">
        <f aca="false">Assumptions!G31</f>
        <v>26</v>
      </c>
      <c r="H28" s="33" t="n">
        <f aca="false">Assumptions!D80</f>
        <v>190</v>
      </c>
      <c r="I28" s="34" t="n">
        <f aca="false">Assumptions!E80</f>
        <v>7.92</v>
      </c>
      <c r="J28" s="35" t="n">
        <f aca="false">Assumptions!$C$13</f>
        <v>0.95</v>
      </c>
      <c r="K28" s="35" t="n">
        <f aca="false">Assumptions!B41</f>
        <v>0.28</v>
      </c>
      <c r="L28" s="35" t="n">
        <f aca="false">Assumptions!C41+IF(Assumptions!$C$6="Downside",Assumptions!$C$9,0)</f>
        <v>0.14</v>
      </c>
      <c r="M28" s="25" t="n">
        <f aca="false">Assumptions!E41</f>
        <v>1.7</v>
      </c>
      <c r="N28" s="36" t="n">
        <f aca="false">H28*I28*G28*IF(Assumptions!$C$6="Downside",1-Assumptions!$C$7,1)</f>
        <v>39124.8</v>
      </c>
      <c r="O28" s="36" t="n">
        <f aca="false">N28*J28</f>
        <v>37168.56</v>
      </c>
      <c r="P28" s="37" t="n">
        <f aca="false">E28*(1-K28)</f>
        <v>71.28</v>
      </c>
      <c r="Q28" s="37" t="n">
        <f aca="false">O28*P28/10000000</f>
        <v>0.26493749568</v>
      </c>
      <c r="R28" s="37" t="n">
        <f aca="false">O28*F28/10000000+IF(Assumptions!$C$6="Downside",Q28*Assumptions!$C$8,0)</f>
        <v>0.169116948</v>
      </c>
      <c r="S28" s="37" t="n">
        <f aca="false">Q28*L28</f>
        <v>0.0370912493952</v>
      </c>
      <c r="T28" s="37" t="n">
        <f aca="false">O28*M28/10000000</f>
        <v>0.0063186552</v>
      </c>
      <c r="U28" s="37" t="n">
        <f aca="false">Q28-SUM(R28:T28)</f>
        <v>0.0524106430848</v>
      </c>
      <c r="V28" s="28" t="n">
        <f aca="false">IFERROR(U28/Q28,0)</f>
        <v>0.197822671156004</v>
      </c>
      <c r="W28" s="25" t="str">
        <f aca="false">Assumptions!F80</f>
        <v>Illustrative (replace with pilot)</v>
      </c>
      <c r="X28" s="25" t="str">
        <f aca="false">Assumptions!C31&amp;" | "&amp;Assumptions!D31</f>
        <v>Badam-Elaichi Milk Mix | 150g pouch</v>
      </c>
    </row>
    <row r="29" customFormat="false" ht="15" hidden="false" customHeight="false" outlineLevel="0" collapsed="false">
      <c r="A29" s="25" t="str">
        <f aca="false">Assumptions!A81</f>
        <v>FY22</v>
      </c>
      <c r="B29" s="25" t="str">
        <f aca="false">Assumptions!B81</f>
        <v>BAD_L</v>
      </c>
      <c r="C29" s="25" t="str">
        <f aca="false">Assumptions!B31</f>
        <v>Premixes</v>
      </c>
      <c r="D29" s="25" t="str">
        <f aca="false">Assumptions!C81</f>
        <v>QCom</v>
      </c>
      <c r="E29" s="20" t="n">
        <f aca="false">Assumptions!E31*(1+Assumptions!$C$11)^0</f>
        <v>99</v>
      </c>
      <c r="F29" s="20" t="n">
        <f aca="false">Assumptions!F31*(1+Assumptions!$C$12)^0</f>
        <v>45.5</v>
      </c>
      <c r="G29" s="25" t="n">
        <f aca="false">Assumptions!G31</f>
        <v>26</v>
      </c>
      <c r="H29" s="33" t="n">
        <f aca="false">Assumptions!D81</f>
        <v>76</v>
      </c>
      <c r="I29" s="34" t="n">
        <f aca="false">Assumptions!E81</f>
        <v>23.76</v>
      </c>
      <c r="J29" s="35" t="n">
        <f aca="false">Assumptions!$C$13</f>
        <v>0.95</v>
      </c>
      <c r="K29" s="35" t="n">
        <f aca="false">Assumptions!B42</f>
        <v>0.38</v>
      </c>
      <c r="L29" s="35" t="n">
        <f aca="false">Assumptions!C42+IF(Assumptions!$C$6="Downside",Assumptions!$C$9,0)</f>
        <v>0.24</v>
      </c>
      <c r="M29" s="25" t="n">
        <f aca="false">Assumptions!E42</f>
        <v>2</v>
      </c>
      <c r="N29" s="36" t="n">
        <f aca="false">H29*I29*G29*IF(Assumptions!$C$6="Downside",1-Assumptions!$C$7,1)</f>
        <v>46949.76</v>
      </c>
      <c r="O29" s="36" t="n">
        <f aca="false">N29*J29</f>
        <v>44602.272</v>
      </c>
      <c r="P29" s="37" t="n">
        <f aca="false">E29*(1-K29)</f>
        <v>61.38</v>
      </c>
      <c r="Q29" s="37" t="n">
        <f aca="false">O29*P29/10000000</f>
        <v>0.273768745536</v>
      </c>
      <c r="R29" s="37" t="n">
        <f aca="false">O29*F29/10000000+IF(Assumptions!$C$6="Downside",Q29*Assumptions!$C$8,0)</f>
        <v>0.2029403376</v>
      </c>
      <c r="S29" s="37" t="n">
        <f aca="false">Q29*L29</f>
        <v>0.06570449892864</v>
      </c>
      <c r="T29" s="37" t="n">
        <f aca="false">O29*M29/10000000</f>
        <v>0.0089204544</v>
      </c>
      <c r="U29" s="37" t="n">
        <f aca="false">Q29-SUM(R29:T29)</f>
        <v>-0.00379654539263996</v>
      </c>
      <c r="V29" s="28" t="n">
        <f aca="false">IFERROR(U29/Q29,0)</f>
        <v>-0.0138677093515802</v>
      </c>
      <c r="W29" s="25" t="str">
        <f aca="false">Assumptions!F81</f>
        <v>Illustrative (replace with pilot)</v>
      </c>
      <c r="X29" s="25" t="str">
        <f aca="false">Assumptions!C31&amp;" | "&amp;Assumptions!D31</f>
        <v>Badam-Elaichi Milk Mix | 150g pouch</v>
      </c>
    </row>
    <row r="30" customFormat="false" ht="15" hidden="false" customHeight="false" outlineLevel="0" collapsed="false">
      <c r="A30" s="25" t="str">
        <f aca="false">Assumptions!A82</f>
        <v>FY22</v>
      </c>
      <c r="B30" s="25" t="str">
        <f aca="false">Assumptions!B82</f>
        <v>CHU_T</v>
      </c>
      <c r="C30" s="25" t="str">
        <f aca="false">Assumptions!B32</f>
        <v>Condiments</v>
      </c>
      <c r="D30" s="25" t="str">
        <f aca="false">Assumptions!C82</f>
        <v>GT</v>
      </c>
      <c r="E30" s="20" t="n">
        <f aca="false">Assumptions!E32*(1+Assumptions!$C$11)^0</f>
        <v>10</v>
      </c>
      <c r="F30" s="20" t="n">
        <f aca="false">Assumptions!F32*(1+Assumptions!$C$12)^0</f>
        <v>4.8</v>
      </c>
      <c r="G30" s="25" t="n">
        <f aca="false">Assumptions!G32</f>
        <v>52</v>
      </c>
      <c r="H30" s="33" t="n">
        <f aca="false">Assumptions!D82</f>
        <v>6880</v>
      </c>
      <c r="I30" s="34" t="n">
        <f aca="false">Assumptions!E82</f>
        <v>1.74</v>
      </c>
      <c r="J30" s="35" t="n">
        <f aca="false">Assumptions!$C$13</f>
        <v>0.95</v>
      </c>
      <c r="K30" s="35" t="n">
        <f aca="false">Assumptions!B40</f>
        <v>0.25</v>
      </c>
      <c r="L30" s="35" t="n">
        <f aca="false">Assumptions!C40+IF(Assumptions!$C$6="Downside",Assumptions!$C$9,0)</f>
        <v>0.065</v>
      </c>
      <c r="M30" s="25" t="n">
        <f aca="false">Assumptions!E40</f>
        <v>1</v>
      </c>
      <c r="N30" s="36" t="n">
        <f aca="false">H30*I30*G30*IF(Assumptions!$C$6="Downside",1-Assumptions!$C$7,1)</f>
        <v>622502.4</v>
      </c>
      <c r="O30" s="36" t="n">
        <f aca="false">N30*J30</f>
        <v>591377.28</v>
      </c>
      <c r="P30" s="37" t="n">
        <f aca="false">E30*(1-K30)</f>
        <v>7.5</v>
      </c>
      <c r="Q30" s="37" t="n">
        <f aca="false">O30*P30/10000000</f>
        <v>0.44353296</v>
      </c>
      <c r="R30" s="37" t="n">
        <f aca="false">O30*F30/10000000+IF(Assumptions!$C$6="Downside",Q30*Assumptions!$C$8,0)</f>
        <v>0.2838610944</v>
      </c>
      <c r="S30" s="37" t="n">
        <f aca="false">Q30*L30</f>
        <v>0.0288296424</v>
      </c>
      <c r="T30" s="37" t="n">
        <f aca="false">O30*M30/10000000</f>
        <v>0.059137728</v>
      </c>
      <c r="U30" s="37" t="n">
        <f aca="false">Q30-SUM(R30:T30)</f>
        <v>0.0717044952</v>
      </c>
      <c r="V30" s="28" t="n">
        <f aca="false">IFERROR(U30/Q30,0)</f>
        <v>0.161666666666667</v>
      </c>
      <c r="W30" s="25" t="str">
        <f aca="false">Assumptions!F82</f>
        <v>Illustrative (replace with pilot)</v>
      </c>
      <c r="X30" s="25" t="str">
        <f aca="false">Assumptions!C32&amp;" | "&amp;Assumptions!D32</f>
        <v>Tamarind-Date Chutney | 20g sachet</v>
      </c>
    </row>
    <row r="31" customFormat="false" ht="15" hidden="false" customHeight="false" outlineLevel="0" collapsed="false">
      <c r="A31" s="25" t="str">
        <f aca="false">Assumptions!A83</f>
        <v>FY22</v>
      </c>
      <c r="B31" s="25" t="str">
        <f aca="false">Assumptions!B83</f>
        <v>CHU_T</v>
      </c>
      <c r="C31" s="25" t="str">
        <f aca="false">Assumptions!B32</f>
        <v>Condiments</v>
      </c>
      <c r="D31" s="25" t="str">
        <f aca="false">Assumptions!C83</f>
        <v>Modern</v>
      </c>
      <c r="E31" s="20" t="n">
        <f aca="false">Assumptions!E32*(1+Assumptions!$C$11)^0</f>
        <v>10</v>
      </c>
      <c r="F31" s="20" t="n">
        <f aca="false">Assumptions!F32*(1+Assumptions!$C$12)^0</f>
        <v>4.8</v>
      </c>
      <c r="G31" s="25" t="n">
        <f aca="false">Assumptions!G32</f>
        <v>52</v>
      </c>
      <c r="H31" s="33" t="n">
        <f aca="false">Assumptions!D83</f>
        <v>241</v>
      </c>
      <c r="I31" s="34" t="n">
        <f aca="false">Assumptions!E83</f>
        <v>6.96</v>
      </c>
      <c r="J31" s="35" t="n">
        <f aca="false">Assumptions!$C$13</f>
        <v>0.95</v>
      </c>
      <c r="K31" s="35" t="n">
        <f aca="false">Assumptions!B41</f>
        <v>0.28</v>
      </c>
      <c r="L31" s="35" t="n">
        <f aca="false">Assumptions!C41+IF(Assumptions!$C$6="Downside",Assumptions!$C$9,0)</f>
        <v>0.14</v>
      </c>
      <c r="M31" s="25" t="n">
        <f aca="false">Assumptions!E41</f>
        <v>1.7</v>
      </c>
      <c r="N31" s="36" t="n">
        <f aca="false">H31*I31*G31*IF(Assumptions!$C$6="Downside",1-Assumptions!$C$7,1)</f>
        <v>87222.72</v>
      </c>
      <c r="O31" s="36" t="n">
        <f aca="false">N31*J31</f>
        <v>82861.584</v>
      </c>
      <c r="P31" s="37" t="n">
        <f aca="false">E31*(1-K31)</f>
        <v>7.2</v>
      </c>
      <c r="Q31" s="37" t="n">
        <f aca="false">O31*P31/10000000</f>
        <v>0.05966034048</v>
      </c>
      <c r="R31" s="37" t="n">
        <f aca="false">O31*F31/10000000+IF(Assumptions!$C$6="Downside",Q31*Assumptions!$C$8,0)</f>
        <v>0.03977356032</v>
      </c>
      <c r="S31" s="37" t="n">
        <f aca="false">Q31*L31</f>
        <v>0.0083524476672</v>
      </c>
      <c r="T31" s="37" t="n">
        <f aca="false">O31*M31/10000000</f>
        <v>0.01408646928</v>
      </c>
      <c r="U31" s="37" t="n">
        <f aca="false">Q31-SUM(R31:T31)</f>
        <v>-0.00255213678720001</v>
      </c>
      <c r="V31" s="28" t="n">
        <f aca="false">IFERROR(U31/Q31,0)</f>
        <v>-0.042777777777778</v>
      </c>
      <c r="W31" s="25" t="str">
        <f aca="false">Assumptions!F83</f>
        <v>Illustrative (replace with pilot)</v>
      </c>
      <c r="X31" s="25" t="str">
        <f aca="false">Assumptions!C32&amp;" | "&amp;Assumptions!D32</f>
        <v>Tamarind-Date Chutney | 20g sachet</v>
      </c>
    </row>
    <row r="32" customFormat="false" ht="15" hidden="false" customHeight="false" outlineLevel="0" collapsed="false">
      <c r="A32" s="25" t="str">
        <f aca="false">Assumptions!A84</f>
        <v>FY22</v>
      </c>
      <c r="B32" s="25" t="str">
        <f aca="false">Assumptions!B84</f>
        <v>CHU_T</v>
      </c>
      <c r="C32" s="25" t="str">
        <f aca="false">Assumptions!B32</f>
        <v>Condiments</v>
      </c>
      <c r="D32" s="25" t="str">
        <f aca="false">Assumptions!C84</f>
        <v>QCom</v>
      </c>
      <c r="E32" s="20" t="n">
        <f aca="false">Assumptions!E32*(1+Assumptions!$C$11)^0</f>
        <v>10</v>
      </c>
      <c r="F32" s="20" t="n">
        <f aca="false">Assumptions!F32*(1+Assumptions!$C$12)^0</f>
        <v>4.8</v>
      </c>
      <c r="G32" s="25" t="n">
        <f aca="false">Assumptions!G32</f>
        <v>52</v>
      </c>
      <c r="H32" s="33" t="n">
        <f aca="false">Assumptions!D84</f>
        <v>96</v>
      </c>
      <c r="I32" s="34" t="n">
        <f aca="false">Assumptions!E84</f>
        <v>20.88</v>
      </c>
      <c r="J32" s="35" t="n">
        <f aca="false">Assumptions!$C$13</f>
        <v>0.95</v>
      </c>
      <c r="K32" s="35" t="n">
        <f aca="false">Assumptions!B42</f>
        <v>0.38</v>
      </c>
      <c r="L32" s="35" t="n">
        <f aca="false">Assumptions!C42+IF(Assumptions!$C$6="Downside",Assumptions!$C$9,0)</f>
        <v>0.24</v>
      </c>
      <c r="M32" s="25" t="n">
        <f aca="false">Assumptions!E42</f>
        <v>2</v>
      </c>
      <c r="N32" s="36" t="n">
        <f aca="false">H32*I32*G32*IF(Assumptions!$C$6="Downside",1-Assumptions!$C$7,1)</f>
        <v>104232.96</v>
      </c>
      <c r="O32" s="36" t="n">
        <f aca="false">N32*J32</f>
        <v>99021.312</v>
      </c>
      <c r="P32" s="37" t="n">
        <f aca="false">E32*(1-K32)</f>
        <v>6.2</v>
      </c>
      <c r="Q32" s="37" t="n">
        <f aca="false">O32*P32/10000000</f>
        <v>0.06139321344</v>
      </c>
      <c r="R32" s="37" t="n">
        <f aca="false">O32*F32/10000000+IF(Assumptions!$C$6="Downside",Q32*Assumptions!$C$8,0)</f>
        <v>0.04753022976</v>
      </c>
      <c r="S32" s="37" t="n">
        <f aca="false">Q32*L32</f>
        <v>0.0147343712256</v>
      </c>
      <c r="T32" s="37" t="n">
        <f aca="false">O32*M32/10000000</f>
        <v>0.0198042624</v>
      </c>
      <c r="U32" s="37" t="n">
        <f aca="false">Q32-SUM(R32:T32)</f>
        <v>-0.0206756499456</v>
      </c>
      <c r="V32" s="28" t="n">
        <f aca="false">IFERROR(U32/Q32,0)</f>
        <v>-0.336774193548387</v>
      </c>
      <c r="W32" s="25" t="str">
        <f aca="false">Assumptions!F84</f>
        <v>Illustrative (replace with pilot)</v>
      </c>
      <c r="X32" s="25" t="str">
        <f aca="false">Assumptions!C32&amp;" | "&amp;Assumptions!D32</f>
        <v>Tamarind-Date Chutney | 20g sachet</v>
      </c>
    </row>
    <row r="33" customFormat="false" ht="15" hidden="false" customHeight="false" outlineLevel="0" collapsed="false">
      <c r="A33" s="25" t="str">
        <f aca="false">Assumptions!A85</f>
        <v>FY22</v>
      </c>
      <c r="B33" s="25" t="str">
        <f aca="false">Assumptions!B85</f>
        <v>CHU_L</v>
      </c>
      <c r="C33" s="25" t="str">
        <f aca="false">Assumptions!B33</f>
        <v>Condiments</v>
      </c>
      <c r="D33" s="25" t="str">
        <f aca="false">Assumptions!C85</f>
        <v>GT</v>
      </c>
      <c r="E33" s="20" t="n">
        <f aca="false">Assumptions!E33*(1+Assumptions!$C$11)^0</f>
        <v>99</v>
      </c>
      <c r="F33" s="20" t="n">
        <f aca="false">Assumptions!F33*(1+Assumptions!$C$12)^0</f>
        <v>47</v>
      </c>
      <c r="G33" s="25" t="n">
        <f aca="false">Assumptions!G33</f>
        <v>52</v>
      </c>
      <c r="H33" s="33" t="n">
        <f aca="false">Assumptions!D85</f>
        <v>5280</v>
      </c>
      <c r="I33" s="34" t="n">
        <f aca="false">Assumptions!E85</f>
        <v>1.32</v>
      </c>
      <c r="J33" s="35" t="n">
        <f aca="false">Assumptions!$C$13</f>
        <v>0.95</v>
      </c>
      <c r="K33" s="35" t="n">
        <f aca="false">Assumptions!B40</f>
        <v>0.25</v>
      </c>
      <c r="L33" s="35" t="n">
        <f aca="false">Assumptions!C40+IF(Assumptions!$C$6="Downside",Assumptions!$C$9,0)</f>
        <v>0.065</v>
      </c>
      <c r="M33" s="25" t="n">
        <f aca="false">Assumptions!E40</f>
        <v>1</v>
      </c>
      <c r="N33" s="36" t="n">
        <f aca="false">H33*I33*G33*IF(Assumptions!$C$6="Downside",1-Assumptions!$C$7,1)</f>
        <v>362419.2</v>
      </c>
      <c r="O33" s="36" t="n">
        <f aca="false">N33*J33</f>
        <v>344298.24</v>
      </c>
      <c r="P33" s="37" t="n">
        <f aca="false">E33*(1-K33)</f>
        <v>74.25</v>
      </c>
      <c r="Q33" s="37" t="n">
        <f aca="false">O33*P33/10000000</f>
        <v>2.556414432</v>
      </c>
      <c r="R33" s="37" t="n">
        <f aca="false">O33*F33/10000000+IF(Assumptions!$C$6="Downside",Q33*Assumptions!$C$8,0)</f>
        <v>1.618201728</v>
      </c>
      <c r="S33" s="37" t="n">
        <f aca="false">Q33*L33</f>
        <v>0.16616693808</v>
      </c>
      <c r="T33" s="37" t="n">
        <f aca="false">O33*M33/10000000</f>
        <v>0.034429824</v>
      </c>
      <c r="U33" s="37" t="n">
        <f aca="false">Q33-SUM(R33:T33)</f>
        <v>0.73761594192</v>
      </c>
      <c r="V33" s="28" t="n">
        <f aca="false">IFERROR(U33/Q33,0)</f>
        <v>0.288535353535354</v>
      </c>
      <c r="W33" s="25" t="str">
        <f aca="false">Assumptions!F85</f>
        <v>Illustrative (replace with pilot)</v>
      </c>
      <c r="X33" s="25" t="str">
        <f aca="false">Assumptions!C33&amp;" | "&amp;Assumptions!D33</f>
        <v>Tamarind-Date Chutney | 200g pack</v>
      </c>
    </row>
    <row r="34" customFormat="false" ht="15" hidden="false" customHeight="false" outlineLevel="0" collapsed="false">
      <c r="A34" s="25" t="str">
        <f aca="false">Assumptions!A86</f>
        <v>FY22</v>
      </c>
      <c r="B34" s="25" t="str">
        <f aca="false">Assumptions!B86</f>
        <v>CHU_L</v>
      </c>
      <c r="C34" s="25" t="str">
        <f aca="false">Assumptions!B33</f>
        <v>Condiments</v>
      </c>
      <c r="D34" s="25" t="str">
        <f aca="false">Assumptions!C86</f>
        <v>Modern</v>
      </c>
      <c r="E34" s="20" t="n">
        <f aca="false">Assumptions!E33*(1+Assumptions!$C$11)^0</f>
        <v>99</v>
      </c>
      <c r="F34" s="20" t="n">
        <f aca="false">Assumptions!F33*(1+Assumptions!$C$12)^0</f>
        <v>47</v>
      </c>
      <c r="G34" s="25" t="n">
        <f aca="false">Assumptions!G33</f>
        <v>52</v>
      </c>
      <c r="H34" s="33" t="n">
        <f aca="false">Assumptions!D86</f>
        <v>185</v>
      </c>
      <c r="I34" s="34" t="n">
        <f aca="false">Assumptions!E86</f>
        <v>5.28</v>
      </c>
      <c r="J34" s="35" t="n">
        <f aca="false">Assumptions!$C$13</f>
        <v>0.95</v>
      </c>
      <c r="K34" s="35" t="n">
        <f aca="false">Assumptions!B41</f>
        <v>0.28</v>
      </c>
      <c r="L34" s="35" t="n">
        <f aca="false">Assumptions!C41+IF(Assumptions!$C$6="Downside",Assumptions!$C$9,0)</f>
        <v>0.14</v>
      </c>
      <c r="M34" s="25" t="n">
        <f aca="false">Assumptions!E41</f>
        <v>1.7</v>
      </c>
      <c r="N34" s="36" t="n">
        <f aca="false">H34*I34*G34*IF(Assumptions!$C$6="Downside",1-Assumptions!$C$7,1)</f>
        <v>50793.6</v>
      </c>
      <c r="O34" s="36" t="n">
        <f aca="false">N34*J34</f>
        <v>48253.92</v>
      </c>
      <c r="P34" s="37" t="n">
        <f aca="false">E34*(1-K34)</f>
        <v>71.28</v>
      </c>
      <c r="Q34" s="37" t="n">
        <f aca="false">O34*P34/10000000</f>
        <v>0.34395394176</v>
      </c>
      <c r="R34" s="37" t="n">
        <f aca="false">O34*F34/10000000+IF(Assumptions!$C$6="Downside",Q34*Assumptions!$C$8,0)</f>
        <v>0.226793424</v>
      </c>
      <c r="S34" s="37" t="n">
        <f aca="false">Q34*L34</f>
        <v>0.0481535518464</v>
      </c>
      <c r="T34" s="37" t="n">
        <f aca="false">O34*M34/10000000</f>
        <v>0.0082031664</v>
      </c>
      <c r="U34" s="37" t="n">
        <f aca="false">Q34-SUM(R34:T34)</f>
        <v>0.0608037995136</v>
      </c>
      <c r="V34" s="28" t="n">
        <f aca="false">IFERROR(U34/Q34,0)</f>
        <v>0.176778900112233</v>
      </c>
      <c r="W34" s="25" t="str">
        <f aca="false">Assumptions!F86</f>
        <v>Illustrative (replace with pilot)</v>
      </c>
      <c r="X34" s="25" t="str">
        <f aca="false">Assumptions!C33&amp;" | "&amp;Assumptions!D33</f>
        <v>Tamarind-Date Chutney | 200g pack</v>
      </c>
    </row>
    <row r="35" customFormat="false" ht="15" hidden="false" customHeight="false" outlineLevel="0" collapsed="false">
      <c r="A35" s="25" t="str">
        <f aca="false">Assumptions!A87</f>
        <v>FY22</v>
      </c>
      <c r="B35" s="25" t="str">
        <f aca="false">Assumptions!B87</f>
        <v>CHU_L</v>
      </c>
      <c r="C35" s="25" t="str">
        <f aca="false">Assumptions!B33</f>
        <v>Condiments</v>
      </c>
      <c r="D35" s="25" t="str">
        <f aca="false">Assumptions!C87</f>
        <v>QCom</v>
      </c>
      <c r="E35" s="20" t="n">
        <f aca="false">Assumptions!E33*(1+Assumptions!$C$11)^0</f>
        <v>99</v>
      </c>
      <c r="F35" s="20" t="n">
        <f aca="false">Assumptions!F33*(1+Assumptions!$C$12)^0</f>
        <v>47</v>
      </c>
      <c r="G35" s="25" t="n">
        <f aca="false">Assumptions!G33</f>
        <v>52</v>
      </c>
      <c r="H35" s="33" t="n">
        <f aca="false">Assumptions!D87</f>
        <v>74</v>
      </c>
      <c r="I35" s="34" t="n">
        <f aca="false">Assumptions!E87</f>
        <v>15.84</v>
      </c>
      <c r="J35" s="35" t="n">
        <f aca="false">Assumptions!$C$13</f>
        <v>0.95</v>
      </c>
      <c r="K35" s="35" t="n">
        <f aca="false">Assumptions!B42</f>
        <v>0.38</v>
      </c>
      <c r="L35" s="35" t="n">
        <f aca="false">Assumptions!C42+IF(Assumptions!$C$6="Downside",Assumptions!$C$9,0)</f>
        <v>0.24</v>
      </c>
      <c r="M35" s="25" t="n">
        <f aca="false">Assumptions!E42</f>
        <v>2</v>
      </c>
      <c r="N35" s="36" t="n">
        <f aca="false">H35*I35*G35*IF(Assumptions!$C$6="Downside",1-Assumptions!$C$7,1)</f>
        <v>60952.32</v>
      </c>
      <c r="O35" s="36" t="n">
        <f aca="false">N35*J35</f>
        <v>57904.704</v>
      </c>
      <c r="P35" s="37" t="n">
        <f aca="false">E35*(1-K35)</f>
        <v>61.38</v>
      </c>
      <c r="Q35" s="37" t="n">
        <f aca="false">O35*P35/10000000</f>
        <v>0.355419073152</v>
      </c>
      <c r="R35" s="37" t="n">
        <f aca="false">O35*F35/10000000+IF(Assumptions!$C$6="Downside",Q35*Assumptions!$C$8,0)</f>
        <v>0.2721521088</v>
      </c>
      <c r="S35" s="37" t="n">
        <f aca="false">Q35*L35</f>
        <v>0.08530057755648</v>
      </c>
      <c r="T35" s="37" t="n">
        <f aca="false">O35*M35/10000000</f>
        <v>0.0115809408</v>
      </c>
      <c r="U35" s="37" t="n">
        <f aca="false">Q35-SUM(R35:T35)</f>
        <v>-0.01361455400448</v>
      </c>
      <c r="V35" s="28" t="n">
        <f aca="false">IFERROR(U35/Q35,0)</f>
        <v>-0.0383056370153145</v>
      </c>
      <c r="W35" s="25" t="str">
        <f aca="false">Assumptions!F87</f>
        <v>Illustrative (replace with pilot)</v>
      </c>
      <c r="X35" s="25" t="str">
        <f aca="false">Assumptions!C33&amp;" | "&amp;Assumptions!D33</f>
        <v>Tamarind-Date Chutney | 200g pack</v>
      </c>
    </row>
    <row r="36" customFormat="false" ht="15" hidden="false" customHeight="false" outlineLevel="0" collapsed="false">
      <c r="A36" s="25" t="str">
        <f aca="false">Assumptions!A88</f>
        <v>FY22</v>
      </c>
      <c r="B36" s="25" t="str">
        <f aca="false">Assumptions!B88</f>
        <v>PIC_T</v>
      </c>
      <c r="C36" s="25" t="str">
        <f aca="false">Assumptions!B34</f>
        <v>Condiments</v>
      </c>
      <c r="D36" s="25" t="str">
        <f aca="false">Assumptions!C88</f>
        <v>GT</v>
      </c>
      <c r="E36" s="20" t="n">
        <f aca="false">Assumptions!E34*(1+Assumptions!$C$11)^0</f>
        <v>10</v>
      </c>
      <c r="F36" s="20" t="n">
        <f aca="false">Assumptions!F34*(1+Assumptions!$C$12)^0</f>
        <v>4.7</v>
      </c>
      <c r="G36" s="25" t="n">
        <f aca="false">Assumptions!G34</f>
        <v>52</v>
      </c>
      <c r="H36" s="33" t="n">
        <f aca="false">Assumptions!D88</f>
        <v>6720</v>
      </c>
      <c r="I36" s="34" t="n">
        <f aca="false">Assumptions!E88</f>
        <v>1.62</v>
      </c>
      <c r="J36" s="35" t="n">
        <f aca="false">Assumptions!$C$13</f>
        <v>0.95</v>
      </c>
      <c r="K36" s="35" t="n">
        <f aca="false">Assumptions!B40</f>
        <v>0.25</v>
      </c>
      <c r="L36" s="35" t="n">
        <f aca="false">Assumptions!C40+IF(Assumptions!$C$6="Downside",Assumptions!$C$9,0)</f>
        <v>0.065</v>
      </c>
      <c r="M36" s="25" t="n">
        <f aca="false">Assumptions!E40</f>
        <v>1</v>
      </c>
      <c r="N36" s="36" t="n">
        <f aca="false">H36*I36*G36*IF(Assumptions!$C$6="Downside",1-Assumptions!$C$7,1)</f>
        <v>566092.8</v>
      </c>
      <c r="O36" s="36" t="n">
        <f aca="false">N36*J36</f>
        <v>537788.16</v>
      </c>
      <c r="P36" s="37" t="n">
        <f aca="false">E36*(1-K36)</f>
        <v>7.5</v>
      </c>
      <c r="Q36" s="37" t="n">
        <f aca="false">O36*P36/10000000</f>
        <v>0.40334112</v>
      </c>
      <c r="R36" s="37" t="n">
        <f aca="false">O36*F36/10000000+IF(Assumptions!$C$6="Downside",Q36*Assumptions!$C$8,0)</f>
        <v>0.2527604352</v>
      </c>
      <c r="S36" s="37" t="n">
        <f aca="false">Q36*L36</f>
        <v>0.0262171728</v>
      </c>
      <c r="T36" s="37" t="n">
        <f aca="false">O36*M36/10000000</f>
        <v>0.053778816</v>
      </c>
      <c r="U36" s="37" t="n">
        <f aca="false">Q36-SUM(R36:T36)</f>
        <v>0.070584696</v>
      </c>
      <c r="V36" s="28" t="n">
        <f aca="false">IFERROR(U36/Q36,0)</f>
        <v>0.175</v>
      </c>
      <c r="W36" s="25" t="str">
        <f aca="false">Assumptions!F88</f>
        <v>Illustrative (replace with pilot)</v>
      </c>
      <c r="X36" s="25" t="str">
        <f aca="false">Assumptions!C34&amp;" | "&amp;Assumptions!D34</f>
        <v>Lime Pickle | 20g sachet</v>
      </c>
    </row>
    <row r="37" customFormat="false" ht="15" hidden="false" customHeight="false" outlineLevel="0" collapsed="false">
      <c r="A37" s="25" t="str">
        <f aca="false">Assumptions!A89</f>
        <v>FY22</v>
      </c>
      <c r="B37" s="25" t="str">
        <f aca="false">Assumptions!B89</f>
        <v>PIC_T</v>
      </c>
      <c r="C37" s="25" t="str">
        <f aca="false">Assumptions!B34</f>
        <v>Condiments</v>
      </c>
      <c r="D37" s="25" t="str">
        <f aca="false">Assumptions!C89</f>
        <v>Modern</v>
      </c>
      <c r="E37" s="20" t="n">
        <f aca="false">Assumptions!E34*(1+Assumptions!$C$11)^0</f>
        <v>10</v>
      </c>
      <c r="F37" s="20" t="n">
        <f aca="false">Assumptions!F34*(1+Assumptions!$C$12)^0</f>
        <v>4.7</v>
      </c>
      <c r="G37" s="25" t="n">
        <f aca="false">Assumptions!G34</f>
        <v>52</v>
      </c>
      <c r="H37" s="33" t="n">
        <f aca="false">Assumptions!D89</f>
        <v>235</v>
      </c>
      <c r="I37" s="34" t="n">
        <f aca="false">Assumptions!E89</f>
        <v>6.48</v>
      </c>
      <c r="J37" s="35" t="n">
        <f aca="false">Assumptions!$C$13</f>
        <v>0.95</v>
      </c>
      <c r="K37" s="35" t="n">
        <f aca="false">Assumptions!B41</f>
        <v>0.28</v>
      </c>
      <c r="L37" s="35" t="n">
        <f aca="false">Assumptions!C41+IF(Assumptions!$C$6="Downside",Assumptions!$C$9,0)</f>
        <v>0.14</v>
      </c>
      <c r="M37" s="25" t="n">
        <f aca="false">Assumptions!E41</f>
        <v>1.7</v>
      </c>
      <c r="N37" s="36" t="n">
        <f aca="false">H37*I37*G37*IF(Assumptions!$C$6="Downside",1-Assumptions!$C$7,1)</f>
        <v>79185.6</v>
      </c>
      <c r="O37" s="36" t="n">
        <f aca="false">N37*J37</f>
        <v>75226.32</v>
      </c>
      <c r="P37" s="37" t="n">
        <f aca="false">E37*(1-K37)</f>
        <v>7.2</v>
      </c>
      <c r="Q37" s="37" t="n">
        <f aca="false">O37*P37/10000000</f>
        <v>0.0541629504</v>
      </c>
      <c r="R37" s="37" t="n">
        <f aca="false">O37*F37/10000000+IF(Assumptions!$C$6="Downside",Q37*Assumptions!$C$8,0)</f>
        <v>0.0353563704</v>
      </c>
      <c r="S37" s="37" t="n">
        <f aca="false">Q37*L37</f>
        <v>0.007582813056</v>
      </c>
      <c r="T37" s="37" t="n">
        <f aca="false">O37*M37/10000000</f>
        <v>0.0127884744</v>
      </c>
      <c r="U37" s="37" t="n">
        <f aca="false">Q37-SUM(R37:T37)</f>
        <v>-0.00156470745600001</v>
      </c>
      <c r="V37" s="28" t="n">
        <f aca="false">IFERROR(U37/Q37,0)</f>
        <v>-0.028888888888889</v>
      </c>
      <c r="W37" s="25" t="str">
        <f aca="false">Assumptions!F89</f>
        <v>Illustrative (replace with pilot)</v>
      </c>
      <c r="X37" s="25" t="str">
        <f aca="false">Assumptions!C34&amp;" | "&amp;Assumptions!D34</f>
        <v>Lime Pickle | 20g sachet</v>
      </c>
    </row>
    <row r="38" customFormat="false" ht="15" hidden="false" customHeight="false" outlineLevel="0" collapsed="false">
      <c r="A38" s="25" t="str">
        <f aca="false">Assumptions!A90</f>
        <v>FY22</v>
      </c>
      <c r="B38" s="25" t="str">
        <f aca="false">Assumptions!B90</f>
        <v>PIC_T</v>
      </c>
      <c r="C38" s="25" t="str">
        <f aca="false">Assumptions!B34</f>
        <v>Condiments</v>
      </c>
      <c r="D38" s="25" t="str">
        <f aca="false">Assumptions!C90</f>
        <v>QCom</v>
      </c>
      <c r="E38" s="20" t="n">
        <f aca="false">Assumptions!E34*(1+Assumptions!$C$11)^0</f>
        <v>10</v>
      </c>
      <c r="F38" s="20" t="n">
        <f aca="false">Assumptions!F34*(1+Assumptions!$C$12)^0</f>
        <v>4.7</v>
      </c>
      <c r="G38" s="25" t="n">
        <f aca="false">Assumptions!G34</f>
        <v>52</v>
      </c>
      <c r="H38" s="33" t="n">
        <f aca="false">Assumptions!D90</f>
        <v>94</v>
      </c>
      <c r="I38" s="34" t="n">
        <f aca="false">Assumptions!E90</f>
        <v>19.44</v>
      </c>
      <c r="J38" s="35" t="n">
        <f aca="false">Assumptions!$C$13</f>
        <v>0.95</v>
      </c>
      <c r="K38" s="35" t="n">
        <f aca="false">Assumptions!B42</f>
        <v>0.38</v>
      </c>
      <c r="L38" s="35" t="n">
        <f aca="false">Assumptions!C42+IF(Assumptions!$C$6="Downside",Assumptions!$C$9,0)</f>
        <v>0.24</v>
      </c>
      <c r="M38" s="25" t="n">
        <f aca="false">Assumptions!E42</f>
        <v>2</v>
      </c>
      <c r="N38" s="36" t="n">
        <f aca="false">H38*I38*G38*IF(Assumptions!$C$6="Downside",1-Assumptions!$C$7,1)</f>
        <v>95022.72</v>
      </c>
      <c r="O38" s="36" t="n">
        <f aca="false">N38*J38</f>
        <v>90271.584</v>
      </c>
      <c r="P38" s="37" t="n">
        <f aca="false">E38*(1-K38)</f>
        <v>6.2</v>
      </c>
      <c r="Q38" s="37" t="n">
        <f aca="false">O38*P38/10000000</f>
        <v>0.05596838208</v>
      </c>
      <c r="R38" s="37" t="n">
        <f aca="false">O38*F38/10000000+IF(Assumptions!$C$6="Downside",Q38*Assumptions!$C$8,0)</f>
        <v>0.04242764448</v>
      </c>
      <c r="S38" s="37" t="n">
        <f aca="false">Q38*L38</f>
        <v>0.0134324116992</v>
      </c>
      <c r="T38" s="37" t="n">
        <f aca="false">O38*M38/10000000</f>
        <v>0.0180543168</v>
      </c>
      <c r="U38" s="37" t="n">
        <f aca="false">Q38-SUM(R38:T38)</f>
        <v>-0.0179459908992</v>
      </c>
      <c r="V38" s="28" t="n">
        <f aca="false">IFERROR(U38/Q38,0)</f>
        <v>-0.320645161290323</v>
      </c>
      <c r="W38" s="25" t="str">
        <f aca="false">Assumptions!F90</f>
        <v>Illustrative (replace with pilot)</v>
      </c>
      <c r="X38" s="25" t="str">
        <f aca="false">Assumptions!C34&amp;" | "&amp;Assumptions!D34</f>
        <v>Lime Pickle | 20g sachet</v>
      </c>
    </row>
    <row r="39" customFormat="false" ht="15" hidden="false" customHeight="false" outlineLevel="0" collapsed="false">
      <c r="A39" s="25" t="str">
        <f aca="false">Assumptions!A91</f>
        <v>FY22</v>
      </c>
      <c r="B39" s="25" t="str">
        <f aca="false">Assumptions!B91</f>
        <v>PIC_L</v>
      </c>
      <c r="C39" s="25" t="str">
        <f aca="false">Assumptions!B35</f>
        <v>Condiments</v>
      </c>
      <c r="D39" s="25" t="str">
        <f aca="false">Assumptions!C91</f>
        <v>GT</v>
      </c>
      <c r="E39" s="20" t="n">
        <f aca="false">Assumptions!E35*(1+Assumptions!$C$11)^0</f>
        <v>99</v>
      </c>
      <c r="F39" s="20" t="n">
        <f aca="false">Assumptions!F35*(1+Assumptions!$C$12)^0</f>
        <v>46.5</v>
      </c>
      <c r="G39" s="25" t="n">
        <f aca="false">Assumptions!G35</f>
        <v>52</v>
      </c>
      <c r="H39" s="33" t="n">
        <f aca="false">Assumptions!D91</f>
        <v>5920</v>
      </c>
      <c r="I39" s="34" t="n">
        <f aca="false">Assumptions!E91</f>
        <v>1.32</v>
      </c>
      <c r="J39" s="35" t="n">
        <f aca="false">Assumptions!$C$13</f>
        <v>0.95</v>
      </c>
      <c r="K39" s="35" t="n">
        <f aca="false">Assumptions!B40</f>
        <v>0.25</v>
      </c>
      <c r="L39" s="35" t="n">
        <f aca="false">Assumptions!C40+IF(Assumptions!$C$6="Downside",Assumptions!$C$9,0)</f>
        <v>0.065</v>
      </c>
      <c r="M39" s="25" t="n">
        <f aca="false">Assumptions!E40</f>
        <v>1</v>
      </c>
      <c r="N39" s="36" t="n">
        <f aca="false">H39*I39*G39*IF(Assumptions!$C$6="Downside",1-Assumptions!$C$7,1)</f>
        <v>406348.8</v>
      </c>
      <c r="O39" s="36" t="n">
        <f aca="false">N39*J39</f>
        <v>386031.36</v>
      </c>
      <c r="P39" s="37" t="n">
        <f aca="false">E39*(1-K39)</f>
        <v>74.25</v>
      </c>
      <c r="Q39" s="37" t="n">
        <f aca="false">O39*P39/10000000</f>
        <v>2.866282848</v>
      </c>
      <c r="R39" s="37" t="n">
        <f aca="false">O39*F39/10000000+IF(Assumptions!$C$6="Downside",Q39*Assumptions!$C$8,0)</f>
        <v>1.795045824</v>
      </c>
      <c r="S39" s="37" t="n">
        <f aca="false">Q39*L39</f>
        <v>0.18630838512</v>
      </c>
      <c r="T39" s="37" t="n">
        <f aca="false">O39*M39/10000000</f>
        <v>0.038603136</v>
      </c>
      <c r="U39" s="37" t="n">
        <f aca="false">Q39-SUM(R39:T39)</f>
        <v>0.84632550288</v>
      </c>
      <c r="V39" s="28" t="n">
        <f aca="false">IFERROR(U39/Q39,0)</f>
        <v>0.29526936026936</v>
      </c>
      <c r="W39" s="25" t="str">
        <f aca="false">Assumptions!F91</f>
        <v>Illustrative (replace with pilot)</v>
      </c>
      <c r="X39" s="25" t="str">
        <f aca="false">Assumptions!C35&amp;" | "&amp;Assumptions!D35</f>
        <v>Lime Pickle | 200g pack</v>
      </c>
    </row>
    <row r="40" customFormat="false" ht="15" hidden="false" customHeight="false" outlineLevel="0" collapsed="false">
      <c r="A40" s="25" t="str">
        <f aca="false">Assumptions!A92</f>
        <v>FY22</v>
      </c>
      <c r="B40" s="25" t="str">
        <f aca="false">Assumptions!B92</f>
        <v>PIC_L</v>
      </c>
      <c r="C40" s="25" t="str">
        <f aca="false">Assumptions!B35</f>
        <v>Condiments</v>
      </c>
      <c r="D40" s="25" t="str">
        <f aca="false">Assumptions!C92</f>
        <v>Modern</v>
      </c>
      <c r="E40" s="20" t="n">
        <f aca="false">Assumptions!E35*(1+Assumptions!$C$11)^0</f>
        <v>99</v>
      </c>
      <c r="F40" s="20" t="n">
        <f aca="false">Assumptions!F35*(1+Assumptions!$C$12)^0</f>
        <v>46.5</v>
      </c>
      <c r="G40" s="25" t="n">
        <f aca="false">Assumptions!G35</f>
        <v>52</v>
      </c>
      <c r="H40" s="33" t="n">
        <f aca="false">Assumptions!D92</f>
        <v>207</v>
      </c>
      <c r="I40" s="34" t="n">
        <f aca="false">Assumptions!E92</f>
        <v>5.28</v>
      </c>
      <c r="J40" s="35" t="n">
        <f aca="false">Assumptions!$C$13</f>
        <v>0.95</v>
      </c>
      <c r="K40" s="35" t="n">
        <f aca="false">Assumptions!B41</f>
        <v>0.28</v>
      </c>
      <c r="L40" s="35" t="n">
        <f aca="false">Assumptions!C41+IF(Assumptions!$C$6="Downside",Assumptions!$C$9,0)</f>
        <v>0.14</v>
      </c>
      <c r="M40" s="25" t="n">
        <f aca="false">Assumptions!E41</f>
        <v>1.7</v>
      </c>
      <c r="N40" s="36" t="n">
        <f aca="false">H40*I40*G40*IF(Assumptions!$C$6="Downside",1-Assumptions!$C$7,1)</f>
        <v>56833.92</v>
      </c>
      <c r="O40" s="36" t="n">
        <f aca="false">N40*J40</f>
        <v>53992.224</v>
      </c>
      <c r="P40" s="37" t="n">
        <f aca="false">E40*(1-K40)</f>
        <v>71.28</v>
      </c>
      <c r="Q40" s="37" t="n">
        <f aca="false">O40*P40/10000000</f>
        <v>0.384856572672</v>
      </c>
      <c r="R40" s="37" t="n">
        <f aca="false">O40*F40/10000000+IF(Assumptions!$C$6="Downside",Q40*Assumptions!$C$8,0)</f>
        <v>0.2510638416</v>
      </c>
      <c r="S40" s="37" t="n">
        <f aca="false">Q40*L40</f>
        <v>0.05387992017408</v>
      </c>
      <c r="T40" s="37" t="n">
        <f aca="false">O40*M40/10000000</f>
        <v>0.00917867808</v>
      </c>
      <c r="U40" s="37" t="n">
        <f aca="false">Q40-SUM(R40:T40)</f>
        <v>0.07073413281792</v>
      </c>
      <c r="V40" s="28" t="n">
        <f aca="false">IFERROR(U40/Q40,0)</f>
        <v>0.183793490460157</v>
      </c>
      <c r="W40" s="25" t="str">
        <f aca="false">Assumptions!F92</f>
        <v>Illustrative (replace with pilot)</v>
      </c>
      <c r="X40" s="25" t="str">
        <f aca="false">Assumptions!C35&amp;" | "&amp;Assumptions!D35</f>
        <v>Lime Pickle | 200g pack</v>
      </c>
    </row>
    <row r="41" customFormat="false" ht="15" hidden="false" customHeight="false" outlineLevel="0" collapsed="false">
      <c r="A41" s="25" t="str">
        <f aca="false">Assumptions!A93</f>
        <v>FY22</v>
      </c>
      <c r="B41" s="25" t="str">
        <f aca="false">Assumptions!B93</f>
        <v>PIC_L</v>
      </c>
      <c r="C41" s="25" t="str">
        <f aca="false">Assumptions!B35</f>
        <v>Condiments</v>
      </c>
      <c r="D41" s="25" t="str">
        <f aca="false">Assumptions!C93</f>
        <v>QCom</v>
      </c>
      <c r="E41" s="20" t="n">
        <f aca="false">Assumptions!E35*(1+Assumptions!$C$11)^0</f>
        <v>99</v>
      </c>
      <c r="F41" s="20" t="n">
        <f aca="false">Assumptions!F35*(1+Assumptions!$C$12)^0</f>
        <v>46.5</v>
      </c>
      <c r="G41" s="25" t="n">
        <f aca="false">Assumptions!G35</f>
        <v>52</v>
      </c>
      <c r="H41" s="33" t="n">
        <f aca="false">Assumptions!D93</f>
        <v>83</v>
      </c>
      <c r="I41" s="34" t="n">
        <f aca="false">Assumptions!E93</f>
        <v>15.84</v>
      </c>
      <c r="J41" s="35" t="n">
        <f aca="false">Assumptions!$C$13</f>
        <v>0.95</v>
      </c>
      <c r="K41" s="35" t="n">
        <f aca="false">Assumptions!B42</f>
        <v>0.38</v>
      </c>
      <c r="L41" s="35" t="n">
        <f aca="false">Assumptions!C42+IF(Assumptions!$C$6="Downside",Assumptions!$C$9,0)</f>
        <v>0.24</v>
      </c>
      <c r="M41" s="25" t="n">
        <f aca="false">Assumptions!E42</f>
        <v>2</v>
      </c>
      <c r="N41" s="36" t="n">
        <f aca="false">H41*I41*G41*IF(Assumptions!$C$6="Downside",1-Assumptions!$C$7,1)</f>
        <v>68365.44</v>
      </c>
      <c r="O41" s="36" t="n">
        <f aca="false">N41*J41</f>
        <v>64947.168</v>
      </c>
      <c r="P41" s="37" t="n">
        <f aca="false">E41*(1-K41)</f>
        <v>61.38</v>
      </c>
      <c r="Q41" s="37" t="n">
        <f aca="false">O41*P41/10000000</f>
        <v>0.398645717184</v>
      </c>
      <c r="R41" s="37" t="n">
        <f aca="false">O41*F41/10000000+IF(Assumptions!$C$6="Downside",Q41*Assumptions!$C$8,0)</f>
        <v>0.3020043312</v>
      </c>
      <c r="S41" s="37" t="n">
        <f aca="false">Q41*L41</f>
        <v>0.09567497212416</v>
      </c>
      <c r="T41" s="37" t="n">
        <f aca="false">O41*M41/10000000</f>
        <v>0.0129894336</v>
      </c>
      <c r="U41" s="37" t="n">
        <f aca="false">Q41-SUM(R41:T41)</f>
        <v>-0.01202301974016</v>
      </c>
      <c r="V41" s="28" t="n">
        <f aca="false">IFERROR(U41/Q41,0)</f>
        <v>-0.030159661127403</v>
      </c>
      <c r="W41" s="25" t="str">
        <f aca="false">Assumptions!F93</f>
        <v>Illustrative (replace with pilot)</v>
      </c>
      <c r="X41" s="25" t="str">
        <f aca="false">Assumptions!C35&amp;" | "&amp;Assumptions!D35</f>
        <v>Lime Pickle | 200g pack</v>
      </c>
    </row>
    <row r="42" customFormat="false" ht="15" hidden="false" customHeight="false" outlineLevel="0" collapsed="false">
      <c r="A42" s="25" t="str">
        <f aca="false">Assumptions!A94</f>
        <v>FY23</v>
      </c>
      <c r="B42" s="25" t="str">
        <f aca="false">Assumptions!B94</f>
        <v>SAB_T</v>
      </c>
      <c r="C42" s="25" t="str">
        <f aca="false">Assumptions!B24</f>
        <v>Spices</v>
      </c>
      <c r="D42" s="25" t="str">
        <f aca="false">Assumptions!C94</f>
        <v>GT</v>
      </c>
      <c r="E42" s="20" t="n">
        <f aca="false">Assumptions!E24*(1+Assumptions!$C$11)^1</f>
        <v>10</v>
      </c>
      <c r="F42" s="20" t="n">
        <f aca="false">Assumptions!F24*(1+Assumptions!$C$12)^1</f>
        <v>5.25</v>
      </c>
      <c r="G42" s="25" t="n">
        <f aca="false">Assumptions!G24</f>
        <v>52</v>
      </c>
      <c r="H42" s="33" t="n">
        <f aca="false">Assumptions!D94</f>
        <v>36400</v>
      </c>
      <c r="I42" s="34" t="n">
        <f aca="false">Assumptions!E94</f>
        <v>3.78</v>
      </c>
      <c r="J42" s="35" t="n">
        <f aca="false">Assumptions!$C$13</f>
        <v>0.95</v>
      </c>
      <c r="K42" s="35" t="n">
        <f aca="false">Assumptions!B40</f>
        <v>0.25</v>
      </c>
      <c r="L42" s="35" t="n">
        <f aca="false">Assumptions!C40+IF(Assumptions!$C$6="Downside",Assumptions!$C$9,0)</f>
        <v>0.065</v>
      </c>
      <c r="M42" s="25" t="n">
        <f aca="false">Assumptions!E40</f>
        <v>1</v>
      </c>
      <c r="N42" s="36" t="n">
        <f aca="false">H42*I42*G42*IF(Assumptions!$C$6="Downside",1-Assumptions!$C$7,1)</f>
        <v>7154784</v>
      </c>
      <c r="O42" s="36" t="n">
        <f aca="false">N42*J42</f>
        <v>6797044.8</v>
      </c>
      <c r="P42" s="37" t="n">
        <f aca="false">E42*(1-K42)</f>
        <v>7.5</v>
      </c>
      <c r="Q42" s="37" t="n">
        <f aca="false">O42*P42/10000000</f>
        <v>5.0977836</v>
      </c>
      <c r="R42" s="37" t="n">
        <f aca="false">O42*F42/10000000+IF(Assumptions!$C$6="Downside",Q42*Assumptions!$C$8,0)</f>
        <v>3.56844852</v>
      </c>
      <c r="S42" s="37" t="n">
        <f aca="false">Q42*L42</f>
        <v>0.331355934</v>
      </c>
      <c r="T42" s="37" t="n">
        <f aca="false">O42*M42/10000000</f>
        <v>0.67970448</v>
      </c>
      <c r="U42" s="37" t="n">
        <f aca="false">Q42-SUM(R42:T42)</f>
        <v>0.518274666</v>
      </c>
      <c r="V42" s="28" t="n">
        <f aca="false">IFERROR(U42/Q42,0)</f>
        <v>0.101666666666667</v>
      </c>
      <c r="W42" s="25" t="str">
        <f aca="false">Assumptions!F94</f>
        <v>Illustrative (replace with pilot)</v>
      </c>
      <c r="X42" s="25" t="str">
        <f aca="false">Assumptions!C24&amp;" | "&amp;Assumptions!D24</f>
        <v>Everyday Sabzi Masala | 8g trial</v>
      </c>
    </row>
    <row r="43" customFormat="false" ht="15" hidden="false" customHeight="false" outlineLevel="0" collapsed="false">
      <c r="A43" s="25" t="str">
        <f aca="false">Assumptions!A95</f>
        <v>FY23</v>
      </c>
      <c r="B43" s="25" t="str">
        <f aca="false">Assumptions!B95</f>
        <v>SAB_T</v>
      </c>
      <c r="C43" s="25" t="str">
        <f aca="false">Assumptions!B24</f>
        <v>Spices</v>
      </c>
      <c r="D43" s="25" t="str">
        <f aca="false">Assumptions!C95</f>
        <v>Modern</v>
      </c>
      <c r="E43" s="20" t="n">
        <f aca="false">Assumptions!E24*(1+Assumptions!$C$11)^1</f>
        <v>10</v>
      </c>
      <c r="F43" s="20" t="n">
        <f aca="false">Assumptions!F24*(1+Assumptions!$C$12)^1</f>
        <v>5.25</v>
      </c>
      <c r="G43" s="25" t="n">
        <f aca="false">Assumptions!G24</f>
        <v>52</v>
      </c>
      <c r="H43" s="33" t="n">
        <f aca="false">Assumptions!D95</f>
        <v>1274</v>
      </c>
      <c r="I43" s="34" t="n">
        <f aca="false">Assumptions!E95</f>
        <v>15.14</v>
      </c>
      <c r="J43" s="35" t="n">
        <f aca="false">Assumptions!$C$13</f>
        <v>0.95</v>
      </c>
      <c r="K43" s="35" t="n">
        <f aca="false">Assumptions!B41</f>
        <v>0.28</v>
      </c>
      <c r="L43" s="35" t="n">
        <f aca="false">Assumptions!C41+IF(Assumptions!$C$6="Downside",Assumptions!$C$9,0)</f>
        <v>0.14</v>
      </c>
      <c r="M43" s="25" t="n">
        <f aca="false">Assumptions!E41</f>
        <v>1.7</v>
      </c>
      <c r="N43" s="36" t="n">
        <f aca="false">H43*I43*G43*IF(Assumptions!$C$6="Downside",1-Assumptions!$C$7,1)</f>
        <v>1002994.72</v>
      </c>
      <c r="O43" s="36" t="n">
        <f aca="false">N43*J43</f>
        <v>952844.984</v>
      </c>
      <c r="P43" s="37" t="n">
        <f aca="false">E43*(1-K43)</f>
        <v>7.2</v>
      </c>
      <c r="Q43" s="37" t="n">
        <f aca="false">O43*P43/10000000</f>
        <v>0.68604838848</v>
      </c>
      <c r="R43" s="37" t="n">
        <f aca="false">O43*F43/10000000+IF(Assumptions!$C$6="Downside",Q43*Assumptions!$C$8,0)</f>
        <v>0.5002436166</v>
      </c>
      <c r="S43" s="37" t="n">
        <f aca="false">Q43*L43</f>
        <v>0.0960467743872</v>
      </c>
      <c r="T43" s="37" t="n">
        <f aca="false">O43*M43/10000000</f>
        <v>0.16198364728</v>
      </c>
      <c r="U43" s="37" t="n">
        <f aca="false">Q43-SUM(R43:T43)</f>
        <v>-0.0722256497872</v>
      </c>
      <c r="V43" s="28" t="n">
        <f aca="false">IFERROR(U43/Q43,0)</f>
        <v>-0.105277777777778</v>
      </c>
      <c r="W43" s="25" t="str">
        <f aca="false">Assumptions!F95</f>
        <v>Illustrative (replace with pilot)</v>
      </c>
      <c r="X43" s="25" t="str">
        <f aca="false">Assumptions!C24&amp;" | "&amp;Assumptions!D24</f>
        <v>Everyday Sabzi Masala | 8g trial</v>
      </c>
    </row>
    <row r="44" customFormat="false" ht="15" hidden="false" customHeight="false" outlineLevel="0" collapsed="false">
      <c r="A44" s="25" t="str">
        <f aca="false">Assumptions!A96</f>
        <v>FY23</v>
      </c>
      <c r="B44" s="25" t="str">
        <f aca="false">Assumptions!B96</f>
        <v>SAB_T</v>
      </c>
      <c r="C44" s="25" t="str">
        <f aca="false">Assumptions!B24</f>
        <v>Spices</v>
      </c>
      <c r="D44" s="25" t="str">
        <f aca="false">Assumptions!C96</f>
        <v>QCom</v>
      </c>
      <c r="E44" s="20" t="n">
        <f aca="false">Assumptions!E24*(1+Assumptions!$C$11)^1</f>
        <v>10</v>
      </c>
      <c r="F44" s="20" t="n">
        <f aca="false">Assumptions!F24*(1+Assumptions!$C$12)^1</f>
        <v>5.25</v>
      </c>
      <c r="G44" s="25" t="n">
        <f aca="false">Assumptions!G24</f>
        <v>52</v>
      </c>
      <c r="H44" s="33" t="n">
        <f aca="false">Assumptions!D96</f>
        <v>510</v>
      </c>
      <c r="I44" s="34" t="n">
        <f aca="false">Assumptions!E96</f>
        <v>45.41</v>
      </c>
      <c r="J44" s="35" t="n">
        <f aca="false">Assumptions!$C$13</f>
        <v>0.95</v>
      </c>
      <c r="K44" s="35" t="n">
        <f aca="false">Assumptions!B42</f>
        <v>0.38</v>
      </c>
      <c r="L44" s="35" t="n">
        <f aca="false">Assumptions!C42+IF(Assumptions!$C$6="Downside",Assumptions!$C$9,0)</f>
        <v>0.24</v>
      </c>
      <c r="M44" s="25" t="n">
        <f aca="false">Assumptions!E42</f>
        <v>2</v>
      </c>
      <c r="N44" s="36" t="n">
        <f aca="false">H44*I44*G44*IF(Assumptions!$C$6="Downside",1-Assumptions!$C$7,1)</f>
        <v>1204273.2</v>
      </c>
      <c r="O44" s="36" t="n">
        <f aca="false">N44*J44</f>
        <v>1144059.54</v>
      </c>
      <c r="P44" s="37" t="n">
        <f aca="false">E44*(1-K44)</f>
        <v>6.2</v>
      </c>
      <c r="Q44" s="37" t="n">
        <f aca="false">O44*P44/10000000</f>
        <v>0.7093169148</v>
      </c>
      <c r="R44" s="37" t="n">
        <f aca="false">O44*F44/10000000+IF(Assumptions!$C$6="Downside",Q44*Assumptions!$C$8,0)</f>
        <v>0.6006312585</v>
      </c>
      <c r="S44" s="37" t="n">
        <f aca="false">Q44*L44</f>
        <v>0.170236059552</v>
      </c>
      <c r="T44" s="37" t="n">
        <f aca="false">O44*M44/10000000</f>
        <v>0.228811908</v>
      </c>
      <c r="U44" s="37" t="n">
        <f aca="false">Q44-SUM(R44:T44)</f>
        <v>-0.290362311252</v>
      </c>
      <c r="V44" s="28" t="n">
        <f aca="false">IFERROR(U44/Q44,0)</f>
        <v>-0.409354838709677</v>
      </c>
      <c r="W44" s="25" t="str">
        <f aca="false">Assumptions!F96</f>
        <v>Illustrative (replace with pilot)</v>
      </c>
      <c r="X44" s="25" t="str">
        <f aca="false">Assumptions!C24&amp;" | "&amp;Assumptions!D24</f>
        <v>Everyday Sabzi Masala | 8g trial</v>
      </c>
    </row>
    <row r="45" customFormat="false" ht="15" hidden="false" customHeight="false" outlineLevel="0" collapsed="false">
      <c r="A45" s="25" t="str">
        <f aca="false">Assumptions!A97</f>
        <v>FY23</v>
      </c>
      <c r="B45" s="25" t="str">
        <f aca="false">Assumptions!B97</f>
        <v>SAB_L</v>
      </c>
      <c r="C45" s="25" t="str">
        <f aca="false">Assumptions!B25</f>
        <v>Spices</v>
      </c>
      <c r="D45" s="25" t="str">
        <f aca="false">Assumptions!C97</f>
        <v>GT</v>
      </c>
      <c r="E45" s="20" t="n">
        <f aca="false">Assumptions!E25*(1+Assumptions!$C$11)^1</f>
        <v>49</v>
      </c>
      <c r="F45" s="20" t="n">
        <f aca="false">Assumptions!F25*(1+Assumptions!$C$12)^1</f>
        <v>23</v>
      </c>
      <c r="G45" s="25" t="n">
        <f aca="false">Assumptions!G25</f>
        <v>52</v>
      </c>
      <c r="H45" s="33" t="n">
        <f aca="false">Assumptions!D97</f>
        <v>42000</v>
      </c>
      <c r="I45" s="34" t="n">
        <f aca="false">Assumptions!E97</f>
        <v>4.58</v>
      </c>
      <c r="J45" s="35" t="n">
        <f aca="false">Assumptions!$C$13</f>
        <v>0.95</v>
      </c>
      <c r="K45" s="35" t="n">
        <f aca="false">Assumptions!B40</f>
        <v>0.25</v>
      </c>
      <c r="L45" s="35" t="n">
        <f aca="false">Assumptions!C40+IF(Assumptions!$C$6="Downside",Assumptions!$C$9,0)</f>
        <v>0.065</v>
      </c>
      <c r="M45" s="25" t="n">
        <f aca="false">Assumptions!E40</f>
        <v>1</v>
      </c>
      <c r="N45" s="36" t="n">
        <f aca="false">H45*I45*G45*IF(Assumptions!$C$6="Downside",1-Assumptions!$C$7,1)</f>
        <v>10002720</v>
      </c>
      <c r="O45" s="36" t="n">
        <f aca="false">N45*J45</f>
        <v>9502584</v>
      </c>
      <c r="P45" s="37" t="n">
        <f aca="false">E45*(1-K45)</f>
        <v>36.75</v>
      </c>
      <c r="Q45" s="37" t="n">
        <f aca="false">O45*P45/10000000</f>
        <v>34.9219962</v>
      </c>
      <c r="R45" s="37" t="n">
        <f aca="false">O45*F45/10000000+IF(Assumptions!$C$6="Downside",Q45*Assumptions!$C$8,0)</f>
        <v>21.8559432</v>
      </c>
      <c r="S45" s="37" t="n">
        <f aca="false">Q45*L45</f>
        <v>2.269929753</v>
      </c>
      <c r="T45" s="37" t="n">
        <f aca="false">O45*M45/10000000</f>
        <v>0.9502584</v>
      </c>
      <c r="U45" s="37" t="n">
        <f aca="false">Q45-SUM(R45:T45)</f>
        <v>9.84586484700001</v>
      </c>
      <c r="V45" s="28" t="n">
        <f aca="false">IFERROR(U45/Q45,0)</f>
        <v>0.281938775510204</v>
      </c>
      <c r="W45" s="25" t="str">
        <f aca="false">Assumptions!F97</f>
        <v>Illustrative (replace with pilot)</v>
      </c>
      <c r="X45" s="25" t="str">
        <f aca="false">Assumptions!C25&amp;" | "&amp;Assumptions!D25</f>
        <v>Everyday Sabzi Masala | 50g pouch</v>
      </c>
    </row>
    <row r="46" customFormat="false" ht="15" hidden="false" customHeight="false" outlineLevel="0" collapsed="false">
      <c r="A46" s="25" t="str">
        <f aca="false">Assumptions!A98</f>
        <v>FY23</v>
      </c>
      <c r="B46" s="25" t="str">
        <f aca="false">Assumptions!B98</f>
        <v>SAB_L</v>
      </c>
      <c r="C46" s="25" t="str">
        <f aca="false">Assumptions!B25</f>
        <v>Spices</v>
      </c>
      <c r="D46" s="25" t="str">
        <f aca="false">Assumptions!C98</f>
        <v>Modern</v>
      </c>
      <c r="E46" s="20" t="n">
        <f aca="false">Assumptions!E25*(1+Assumptions!$C$11)^1</f>
        <v>49</v>
      </c>
      <c r="F46" s="20" t="n">
        <f aca="false">Assumptions!F25*(1+Assumptions!$C$12)^1</f>
        <v>23</v>
      </c>
      <c r="G46" s="25" t="n">
        <f aca="false">Assumptions!G25</f>
        <v>52</v>
      </c>
      <c r="H46" s="33" t="n">
        <f aca="false">Assumptions!D98</f>
        <v>1470</v>
      </c>
      <c r="I46" s="34" t="n">
        <f aca="false">Assumptions!E98</f>
        <v>18.3</v>
      </c>
      <c r="J46" s="35" t="n">
        <f aca="false">Assumptions!$C$13</f>
        <v>0.95</v>
      </c>
      <c r="K46" s="35" t="n">
        <f aca="false">Assumptions!B41</f>
        <v>0.28</v>
      </c>
      <c r="L46" s="35" t="n">
        <f aca="false">Assumptions!C41+IF(Assumptions!$C$6="Downside",Assumptions!$C$9,0)</f>
        <v>0.14</v>
      </c>
      <c r="M46" s="25" t="n">
        <f aca="false">Assumptions!E41</f>
        <v>1.7</v>
      </c>
      <c r="N46" s="36" t="n">
        <f aca="false">H46*I46*G46*IF(Assumptions!$C$6="Downside",1-Assumptions!$C$7,1)</f>
        <v>1398852</v>
      </c>
      <c r="O46" s="36" t="n">
        <f aca="false">N46*J46</f>
        <v>1328909.4</v>
      </c>
      <c r="P46" s="37" t="n">
        <f aca="false">E46*(1-K46)</f>
        <v>35.28</v>
      </c>
      <c r="Q46" s="37" t="n">
        <f aca="false">O46*P46/10000000</f>
        <v>4.6883923632</v>
      </c>
      <c r="R46" s="37" t="n">
        <f aca="false">O46*F46/10000000+IF(Assumptions!$C$6="Downside",Q46*Assumptions!$C$8,0)</f>
        <v>3.05649162</v>
      </c>
      <c r="S46" s="37" t="n">
        <f aca="false">Q46*L46</f>
        <v>0.656374930848</v>
      </c>
      <c r="T46" s="37" t="n">
        <f aca="false">O46*M46/10000000</f>
        <v>0.225914598</v>
      </c>
      <c r="U46" s="37" t="n">
        <f aca="false">Q46-SUM(R46:T46)</f>
        <v>0.749611214352</v>
      </c>
      <c r="V46" s="28" t="n">
        <f aca="false">IFERROR(U46/Q46,0)</f>
        <v>0.159886621315193</v>
      </c>
      <c r="W46" s="25" t="str">
        <f aca="false">Assumptions!F98</f>
        <v>Illustrative (replace with pilot)</v>
      </c>
      <c r="X46" s="25" t="str">
        <f aca="false">Assumptions!C25&amp;" | "&amp;Assumptions!D25</f>
        <v>Everyday Sabzi Masala | 50g pouch</v>
      </c>
    </row>
    <row r="47" customFormat="false" ht="15" hidden="false" customHeight="false" outlineLevel="0" collapsed="false">
      <c r="A47" s="25" t="str">
        <f aca="false">Assumptions!A99</f>
        <v>FY23</v>
      </c>
      <c r="B47" s="25" t="str">
        <f aca="false">Assumptions!B99</f>
        <v>SAB_L</v>
      </c>
      <c r="C47" s="25" t="str">
        <f aca="false">Assumptions!B25</f>
        <v>Spices</v>
      </c>
      <c r="D47" s="25" t="str">
        <f aca="false">Assumptions!C99</f>
        <v>QCom</v>
      </c>
      <c r="E47" s="20" t="n">
        <f aca="false">Assumptions!E25*(1+Assumptions!$C$11)^1</f>
        <v>49</v>
      </c>
      <c r="F47" s="20" t="n">
        <f aca="false">Assumptions!F25*(1+Assumptions!$C$12)^1</f>
        <v>23</v>
      </c>
      <c r="G47" s="25" t="n">
        <f aca="false">Assumptions!G25</f>
        <v>52</v>
      </c>
      <c r="H47" s="33" t="n">
        <f aca="false">Assumptions!D99</f>
        <v>588</v>
      </c>
      <c r="I47" s="34" t="n">
        <f aca="false">Assumptions!E99</f>
        <v>54.91</v>
      </c>
      <c r="J47" s="35" t="n">
        <f aca="false">Assumptions!$C$13</f>
        <v>0.95</v>
      </c>
      <c r="K47" s="35" t="n">
        <f aca="false">Assumptions!B42</f>
        <v>0.38</v>
      </c>
      <c r="L47" s="35" t="n">
        <f aca="false">Assumptions!C42+IF(Assumptions!$C$6="Downside",Assumptions!$C$9,0)</f>
        <v>0.24</v>
      </c>
      <c r="M47" s="25" t="n">
        <f aca="false">Assumptions!E42</f>
        <v>2</v>
      </c>
      <c r="N47" s="36" t="n">
        <f aca="false">H47*I47*G47*IF(Assumptions!$C$6="Downside",1-Assumptions!$C$7,1)</f>
        <v>1678928.16</v>
      </c>
      <c r="O47" s="36" t="n">
        <f aca="false">N47*J47</f>
        <v>1594981.752</v>
      </c>
      <c r="P47" s="37" t="n">
        <f aca="false">E47*(1-K47)</f>
        <v>30.38</v>
      </c>
      <c r="Q47" s="37" t="n">
        <f aca="false">O47*P47/10000000</f>
        <v>4.845554562576</v>
      </c>
      <c r="R47" s="37" t="n">
        <f aca="false">O47*F47/10000000+IF(Assumptions!$C$6="Downside",Q47*Assumptions!$C$8,0)</f>
        <v>3.6684580296</v>
      </c>
      <c r="S47" s="37" t="n">
        <f aca="false">Q47*L47</f>
        <v>1.16293309501824</v>
      </c>
      <c r="T47" s="37" t="n">
        <f aca="false">O47*M47/10000000</f>
        <v>0.3189963504</v>
      </c>
      <c r="U47" s="37" t="n">
        <f aca="false">Q47-SUM(R47:T47)</f>
        <v>-0.304832912442239</v>
      </c>
      <c r="V47" s="28" t="n">
        <f aca="false">IFERROR(U47/Q47,0)</f>
        <v>-0.0629098090849242</v>
      </c>
      <c r="W47" s="25" t="str">
        <f aca="false">Assumptions!F99</f>
        <v>Illustrative (replace with pilot)</v>
      </c>
      <c r="X47" s="25" t="str">
        <f aca="false">Assumptions!C25&amp;" | "&amp;Assumptions!D25</f>
        <v>Everyday Sabzi Masala | 50g pouch</v>
      </c>
    </row>
    <row r="48" customFormat="false" ht="15" hidden="false" customHeight="false" outlineLevel="0" collapsed="false">
      <c r="A48" s="25" t="str">
        <f aca="false">Assumptions!A100</f>
        <v>FY23</v>
      </c>
      <c r="B48" s="25" t="str">
        <f aca="false">Assumptions!B100</f>
        <v>GAR_T</v>
      </c>
      <c r="C48" s="25" t="str">
        <f aca="false">Assumptions!B26</f>
        <v>Spices</v>
      </c>
      <c r="D48" s="25" t="str">
        <f aca="false">Assumptions!C100</f>
        <v>GT</v>
      </c>
      <c r="E48" s="20" t="n">
        <f aca="false">Assumptions!E26*(1+Assumptions!$C$11)^1</f>
        <v>10</v>
      </c>
      <c r="F48" s="20" t="n">
        <f aca="false">Assumptions!F26*(1+Assumptions!$C$12)^1</f>
        <v>5.35</v>
      </c>
      <c r="G48" s="25" t="n">
        <f aca="false">Assumptions!G26</f>
        <v>52</v>
      </c>
      <c r="H48" s="33" t="n">
        <f aca="false">Assumptions!D100</f>
        <v>31920</v>
      </c>
      <c r="I48" s="34" t="n">
        <f aca="false">Assumptions!E100</f>
        <v>3.26</v>
      </c>
      <c r="J48" s="35" t="n">
        <f aca="false">Assumptions!$C$13</f>
        <v>0.95</v>
      </c>
      <c r="K48" s="35" t="n">
        <f aca="false">Assumptions!B40</f>
        <v>0.25</v>
      </c>
      <c r="L48" s="35" t="n">
        <f aca="false">Assumptions!C40+IF(Assumptions!$C$6="Downside",Assumptions!$C$9,0)</f>
        <v>0.065</v>
      </c>
      <c r="M48" s="25" t="n">
        <f aca="false">Assumptions!E40</f>
        <v>1</v>
      </c>
      <c r="N48" s="36" t="n">
        <f aca="false">H48*I48*G48*IF(Assumptions!$C$6="Downside",1-Assumptions!$C$7,1)</f>
        <v>5411078.4</v>
      </c>
      <c r="O48" s="36" t="n">
        <f aca="false">N48*J48</f>
        <v>5140524.48</v>
      </c>
      <c r="P48" s="37" t="n">
        <f aca="false">E48*(1-K48)</f>
        <v>7.5</v>
      </c>
      <c r="Q48" s="37" t="n">
        <f aca="false">O48*P48/10000000</f>
        <v>3.85539336</v>
      </c>
      <c r="R48" s="37" t="n">
        <f aca="false">O48*F48/10000000+IF(Assumptions!$C$6="Downside",Q48*Assumptions!$C$8,0)</f>
        <v>2.7501805968</v>
      </c>
      <c r="S48" s="37" t="n">
        <f aca="false">Q48*L48</f>
        <v>0.2506005684</v>
      </c>
      <c r="T48" s="37" t="n">
        <f aca="false">O48*M48/10000000</f>
        <v>0.514052448</v>
      </c>
      <c r="U48" s="37" t="n">
        <f aca="false">Q48-SUM(R48:T48)</f>
        <v>0.3405597468</v>
      </c>
      <c r="V48" s="28" t="n">
        <f aca="false">IFERROR(U48/Q48,0)</f>
        <v>0.0883333333333333</v>
      </c>
      <c r="W48" s="25" t="str">
        <f aca="false">Assumptions!F100</f>
        <v>Illustrative (replace with pilot)</v>
      </c>
      <c r="X48" s="25" t="str">
        <f aca="false">Assumptions!C26&amp;" | "&amp;Assumptions!D26</f>
        <v>Garam Masala | 5g trial</v>
      </c>
    </row>
    <row r="49" customFormat="false" ht="15" hidden="false" customHeight="false" outlineLevel="0" collapsed="false">
      <c r="A49" s="25" t="str">
        <f aca="false">Assumptions!A101</f>
        <v>FY23</v>
      </c>
      <c r="B49" s="25" t="str">
        <f aca="false">Assumptions!B101</f>
        <v>GAR_T</v>
      </c>
      <c r="C49" s="25" t="str">
        <f aca="false">Assumptions!B26</f>
        <v>Spices</v>
      </c>
      <c r="D49" s="25" t="str">
        <f aca="false">Assumptions!C101</f>
        <v>Modern</v>
      </c>
      <c r="E49" s="20" t="n">
        <f aca="false">Assumptions!E26*(1+Assumptions!$C$11)^1</f>
        <v>10</v>
      </c>
      <c r="F49" s="20" t="n">
        <f aca="false">Assumptions!F26*(1+Assumptions!$C$12)^1</f>
        <v>5.35</v>
      </c>
      <c r="G49" s="25" t="n">
        <f aca="false">Assumptions!G26</f>
        <v>52</v>
      </c>
      <c r="H49" s="33" t="n">
        <f aca="false">Assumptions!D101</f>
        <v>1117</v>
      </c>
      <c r="I49" s="34" t="n">
        <f aca="false">Assumptions!E101</f>
        <v>13.02</v>
      </c>
      <c r="J49" s="35" t="n">
        <f aca="false">Assumptions!$C$13</f>
        <v>0.95</v>
      </c>
      <c r="K49" s="35" t="n">
        <f aca="false">Assumptions!B41</f>
        <v>0.28</v>
      </c>
      <c r="L49" s="35" t="n">
        <f aca="false">Assumptions!C41+IF(Assumptions!$C$6="Downside",Assumptions!$C$9,0)</f>
        <v>0.14</v>
      </c>
      <c r="M49" s="25" t="n">
        <f aca="false">Assumptions!E41</f>
        <v>1.7</v>
      </c>
      <c r="N49" s="36" t="n">
        <f aca="false">H49*I49*G49*IF(Assumptions!$C$6="Downside",1-Assumptions!$C$7,1)</f>
        <v>756253.68</v>
      </c>
      <c r="O49" s="36" t="n">
        <f aca="false">N49*J49</f>
        <v>718440.996</v>
      </c>
      <c r="P49" s="37" t="n">
        <f aca="false">E49*(1-K49)</f>
        <v>7.2</v>
      </c>
      <c r="Q49" s="37" t="n">
        <f aca="false">O49*P49/10000000</f>
        <v>0.51727751712</v>
      </c>
      <c r="R49" s="37" t="n">
        <f aca="false">O49*F49/10000000+IF(Assumptions!$C$6="Downside",Q49*Assumptions!$C$8,0)</f>
        <v>0.38436593286</v>
      </c>
      <c r="S49" s="37" t="n">
        <f aca="false">Q49*L49</f>
        <v>0.0724188523968</v>
      </c>
      <c r="T49" s="37" t="n">
        <f aca="false">O49*M49/10000000</f>
        <v>0.12213496932</v>
      </c>
      <c r="U49" s="37" t="n">
        <f aca="false">Q49-SUM(R49:T49)</f>
        <v>-0.0616422374568001</v>
      </c>
      <c r="V49" s="28" t="n">
        <f aca="false">IFERROR(U49/Q49,0)</f>
        <v>-0.119166666666667</v>
      </c>
      <c r="W49" s="25" t="str">
        <f aca="false">Assumptions!F101</f>
        <v>Illustrative (replace with pilot)</v>
      </c>
      <c r="X49" s="25" t="str">
        <f aca="false">Assumptions!C26&amp;" | "&amp;Assumptions!D26</f>
        <v>Garam Masala | 5g trial</v>
      </c>
    </row>
    <row r="50" customFormat="false" ht="15" hidden="false" customHeight="false" outlineLevel="0" collapsed="false">
      <c r="A50" s="25" t="str">
        <f aca="false">Assumptions!A102</f>
        <v>FY23</v>
      </c>
      <c r="B50" s="25" t="str">
        <f aca="false">Assumptions!B102</f>
        <v>GAR_T</v>
      </c>
      <c r="C50" s="25" t="str">
        <f aca="false">Assumptions!B26</f>
        <v>Spices</v>
      </c>
      <c r="D50" s="25" t="str">
        <f aca="false">Assumptions!C102</f>
        <v>QCom</v>
      </c>
      <c r="E50" s="20" t="n">
        <f aca="false">Assumptions!E26*(1+Assumptions!$C$11)^1</f>
        <v>10</v>
      </c>
      <c r="F50" s="20" t="n">
        <f aca="false">Assumptions!F26*(1+Assumptions!$C$12)^1</f>
        <v>5.35</v>
      </c>
      <c r="G50" s="25" t="n">
        <f aca="false">Assumptions!G26</f>
        <v>52</v>
      </c>
      <c r="H50" s="33" t="n">
        <f aca="false">Assumptions!D102</f>
        <v>447</v>
      </c>
      <c r="I50" s="34" t="n">
        <f aca="false">Assumptions!E102</f>
        <v>39.07</v>
      </c>
      <c r="J50" s="35" t="n">
        <f aca="false">Assumptions!$C$13</f>
        <v>0.95</v>
      </c>
      <c r="K50" s="35" t="n">
        <f aca="false">Assumptions!B42</f>
        <v>0.38</v>
      </c>
      <c r="L50" s="35" t="n">
        <f aca="false">Assumptions!C42+IF(Assumptions!$C$6="Downside",Assumptions!$C$9,0)</f>
        <v>0.24</v>
      </c>
      <c r="M50" s="25" t="n">
        <f aca="false">Assumptions!E42</f>
        <v>2</v>
      </c>
      <c r="N50" s="36" t="n">
        <f aca="false">H50*I50*G50*IF(Assumptions!$C$6="Downside",1-Assumptions!$C$7,1)</f>
        <v>908143.08</v>
      </c>
      <c r="O50" s="36" t="n">
        <f aca="false">N50*J50</f>
        <v>862735.926</v>
      </c>
      <c r="P50" s="37" t="n">
        <f aca="false">E50*(1-K50)</f>
        <v>6.2</v>
      </c>
      <c r="Q50" s="37" t="n">
        <f aca="false">O50*P50/10000000</f>
        <v>0.53489627412</v>
      </c>
      <c r="R50" s="37" t="n">
        <f aca="false">O50*F50/10000000+IF(Assumptions!$C$6="Downside",Q50*Assumptions!$C$8,0)</f>
        <v>0.46156372041</v>
      </c>
      <c r="S50" s="37" t="n">
        <f aca="false">Q50*L50</f>
        <v>0.1283751057888</v>
      </c>
      <c r="T50" s="37" t="n">
        <f aca="false">O50*M50/10000000</f>
        <v>0.1725471852</v>
      </c>
      <c r="U50" s="37" t="n">
        <f aca="false">Q50-SUM(R50:T50)</f>
        <v>-0.2275897372788</v>
      </c>
      <c r="V50" s="28" t="n">
        <f aca="false">IFERROR(U50/Q50,0)</f>
        <v>-0.425483870967742</v>
      </c>
      <c r="W50" s="25" t="str">
        <f aca="false">Assumptions!F102</f>
        <v>Illustrative (replace with pilot)</v>
      </c>
      <c r="X50" s="25" t="str">
        <f aca="false">Assumptions!C26&amp;" | "&amp;Assumptions!D26</f>
        <v>Garam Masala | 5g trial</v>
      </c>
    </row>
    <row r="51" customFormat="false" ht="15" hidden="false" customHeight="false" outlineLevel="0" collapsed="false">
      <c r="A51" s="25" t="str">
        <f aca="false">Assumptions!A103</f>
        <v>FY23</v>
      </c>
      <c r="B51" s="25" t="str">
        <f aca="false">Assumptions!B103</f>
        <v>GAR_L</v>
      </c>
      <c r="C51" s="25" t="str">
        <f aca="false">Assumptions!B27</f>
        <v>Spices</v>
      </c>
      <c r="D51" s="25" t="str">
        <f aca="false">Assumptions!C103</f>
        <v>GT</v>
      </c>
      <c r="E51" s="20" t="n">
        <f aca="false">Assumptions!E27*(1+Assumptions!$C$11)^1</f>
        <v>49</v>
      </c>
      <c r="F51" s="20" t="n">
        <f aca="false">Assumptions!F27*(1+Assumptions!$C$12)^1</f>
        <v>23.5</v>
      </c>
      <c r="G51" s="25" t="n">
        <f aca="false">Assumptions!G27</f>
        <v>52</v>
      </c>
      <c r="H51" s="33" t="n">
        <f aca="false">Assumptions!D103</f>
        <v>39200</v>
      </c>
      <c r="I51" s="34" t="n">
        <f aca="false">Assumptions!E103</f>
        <v>3.87</v>
      </c>
      <c r="J51" s="35" t="n">
        <f aca="false">Assumptions!$C$13</f>
        <v>0.95</v>
      </c>
      <c r="K51" s="35" t="n">
        <f aca="false">Assumptions!B40</f>
        <v>0.25</v>
      </c>
      <c r="L51" s="35" t="n">
        <f aca="false">Assumptions!C40+IF(Assumptions!$C$6="Downside",Assumptions!$C$9,0)</f>
        <v>0.065</v>
      </c>
      <c r="M51" s="25" t="n">
        <f aca="false">Assumptions!E40</f>
        <v>1</v>
      </c>
      <c r="N51" s="36" t="n">
        <f aca="false">H51*I51*G51*IF(Assumptions!$C$6="Downside",1-Assumptions!$C$7,1)</f>
        <v>7888608</v>
      </c>
      <c r="O51" s="36" t="n">
        <f aca="false">N51*J51</f>
        <v>7494177.6</v>
      </c>
      <c r="P51" s="37" t="n">
        <f aca="false">E51*(1-K51)</f>
        <v>36.75</v>
      </c>
      <c r="Q51" s="37" t="n">
        <f aca="false">O51*P51/10000000</f>
        <v>27.54110268</v>
      </c>
      <c r="R51" s="37" t="n">
        <f aca="false">O51*F51/10000000+IF(Assumptions!$C$6="Downside",Q51*Assumptions!$C$8,0)</f>
        <v>17.61131736</v>
      </c>
      <c r="S51" s="37" t="n">
        <f aca="false">Q51*L51</f>
        <v>1.7901716742</v>
      </c>
      <c r="T51" s="37" t="n">
        <f aca="false">O51*M51/10000000</f>
        <v>0.74941776</v>
      </c>
      <c r="U51" s="37" t="n">
        <f aca="false">Q51-SUM(R51:T51)</f>
        <v>7.3901958858</v>
      </c>
      <c r="V51" s="28" t="n">
        <f aca="false">IFERROR(U51/Q51,0)</f>
        <v>0.268333333333333</v>
      </c>
      <c r="W51" s="25" t="str">
        <f aca="false">Assumptions!F103</f>
        <v>Illustrative (replace with pilot)</v>
      </c>
      <c r="X51" s="25" t="str">
        <f aca="false">Assumptions!C27&amp;" | "&amp;Assumptions!D27</f>
        <v>Garam Masala | 50g pouch</v>
      </c>
    </row>
    <row r="52" customFormat="false" ht="15" hidden="false" customHeight="false" outlineLevel="0" collapsed="false">
      <c r="A52" s="25" t="str">
        <f aca="false">Assumptions!A104</f>
        <v>FY23</v>
      </c>
      <c r="B52" s="25" t="str">
        <f aca="false">Assumptions!B104</f>
        <v>GAR_L</v>
      </c>
      <c r="C52" s="25" t="str">
        <f aca="false">Assumptions!B27</f>
        <v>Spices</v>
      </c>
      <c r="D52" s="25" t="str">
        <f aca="false">Assumptions!C104</f>
        <v>Modern</v>
      </c>
      <c r="E52" s="20" t="n">
        <f aca="false">Assumptions!E27*(1+Assumptions!$C$11)^1</f>
        <v>49</v>
      </c>
      <c r="F52" s="20" t="n">
        <f aca="false">Assumptions!F27*(1+Assumptions!$C$12)^1</f>
        <v>23.5</v>
      </c>
      <c r="G52" s="25" t="n">
        <f aca="false">Assumptions!G27</f>
        <v>52</v>
      </c>
      <c r="H52" s="33" t="n">
        <f aca="false">Assumptions!D104</f>
        <v>1372</v>
      </c>
      <c r="I52" s="34" t="n">
        <f aca="false">Assumptions!E104</f>
        <v>15.49</v>
      </c>
      <c r="J52" s="35" t="n">
        <f aca="false">Assumptions!$C$13</f>
        <v>0.95</v>
      </c>
      <c r="K52" s="35" t="n">
        <f aca="false">Assumptions!B41</f>
        <v>0.28</v>
      </c>
      <c r="L52" s="35" t="n">
        <f aca="false">Assumptions!C41+IF(Assumptions!$C$6="Downside",Assumptions!$C$9,0)</f>
        <v>0.14</v>
      </c>
      <c r="M52" s="25" t="n">
        <f aca="false">Assumptions!E41</f>
        <v>1.7</v>
      </c>
      <c r="N52" s="36" t="n">
        <f aca="false">H52*I52*G52*IF(Assumptions!$C$6="Downside",1-Assumptions!$C$7,1)</f>
        <v>1105118.56</v>
      </c>
      <c r="O52" s="36" t="n">
        <f aca="false">N52*J52</f>
        <v>1049862.632</v>
      </c>
      <c r="P52" s="37" t="n">
        <f aca="false">E52*(1-K52)</f>
        <v>35.28</v>
      </c>
      <c r="Q52" s="37" t="n">
        <f aca="false">O52*P52/10000000</f>
        <v>3.703915365696</v>
      </c>
      <c r="R52" s="37" t="n">
        <f aca="false">O52*F52/10000000+IF(Assumptions!$C$6="Downside",Q52*Assumptions!$C$8,0)</f>
        <v>2.4671771852</v>
      </c>
      <c r="S52" s="37" t="n">
        <f aca="false">Q52*L52</f>
        <v>0.51854815119744</v>
      </c>
      <c r="T52" s="37" t="n">
        <f aca="false">O52*M52/10000000</f>
        <v>0.17847664744</v>
      </c>
      <c r="U52" s="37" t="n">
        <f aca="false">Q52-SUM(R52:T52)</f>
        <v>0.53971338185856</v>
      </c>
      <c r="V52" s="28" t="n">
        <f aca="false">IFERROR(U52/Q52,0)</f>
        <v>0.145714285714286</v>
      </c>
      <c r="W52" s="25" t="str">
        <f aca="false">Assumptions!F104</f>
        <v>Illustrative (replace with pilot)</v>
      </c>
      <c r="X52" s="25" t="str">
        <f aca="false">Assumptions!C27&amp;" | "&amp;Assumptions!D27</f>
        <v>Garam Masala | 50g pouch</v>
      </c>
    </row>
    <row r="53" customFormat="false" ht="15" hidden="false" customHeight="false" outlineLevel="0" collapsed="false">
      <c r="A53" s="25" t="str">
        <f aca="false">Assumptions!A105</f>
        <v>FY23</v>
      </c>
      <c r="B53" s="25" t="str">
        <f aca="false">Assumptions!B105</f>
        <v>GAR_L</v>
      </c>
      <c r="C53" s="25" t="str">
        <f aca="false">Assumptions!B27</f>
        <v>Spices</v>
      </c>
      <c r="D53" s="25" t="str">
        <f aca="false">Assumptions!C105</f>
        <v>QCom</v>
      </c>
      <c r="E53" s="20" t="n">
        <f aca="false">Assumptions!E27*(1+Assumptions!$C$11)^1</f>
        <v>49</v>
      </c>
      <c r="F53" s="20" t="n">
        <f aca="false">Assumptions!F27*(1+Assumptions!$C$12)^1</f>
        <v>23.5</v>
      </c>
      <c r="G53" s="25" t="n">
        <f aca="false">Assumptions!G27</f>
        <v>52</v>
      </c>
      <c r="H53" s="33" t="n">
        <f aca="false">Assumptions!D105</f>
        <v>549</v>
      </c>
      <c r="I53" s="34" t="n">
        <f aca="false">Assumptions!E105</f>
        <v>46.46</v>
      </c>
      <c r="J53" s="35" t="n">
        <f aca="false">Assumptions!$C$13</f>
        <v>0.95</v>
      </c>
      <c r="K53" s="35" t="n">
        <f aca="false">Assumptions!B42</f>
        <v>0.38</v>
      </c>
      <c r="L53" s="35" t="n">
        <f aca="false">Assumptions!C42+IF(Assumptions!$C$6="Downside",Assumptions!$C$9,0)</f>
        <v>0.24</v>
      </c>
      <c r="M53" s="25" t="n">
        <f aca="false">Assumptions!E42</f>
        <v>2</v>
      </c>
      <c r="N53" s="36" t="n">
        <f aca="false">H53*I53*G53*IF(Assumptions!$C$6="Downside",1-Assumptions!$C$7,1)</f>
        <v>1326340.08</v>
      </c>
      <c r="O53" s="36" t="n">
        <f aca="false">N53*J53</f>
        <v>1260023.076</v>
      </c>
      <c r="P53" s="37" t="n">
        <f aca="false">E53*(1-K53)</f>
        <v>30.38</v>
      </c>
      <c r="Q53" s="37" t="n">
        <f aca="false">O53*P53/10000000</f>
        <v>3.827950104888</v>
      </c>
      <c r="R53" s="37" t="n">
        <f aca="false">O53*F53/10000000+IF(Assumptions!$C$6="Downside",Q53*Assumptions!$C$8,0)</f>
        <v>2.9610542286</v>
      </c>
      <c r="S53" s="37" t="n">
        <f aca="false">Q53*L53</f>
        <v>0.91870802517312</v>
      </c>
      <c r="T53" s="37" t="n">
        <f aca="false">O53*M53/10000000</f>
        <v>0.2520046152</v>
      </c>
      <c r="U53" s="37" t="n">
        <f aca="false">Q53-SUM(R53:T53)</f>
        <v>-0.30381676408512</v>
      </c>
      <c r="V53" s="28" t="n">
        <f aca="false">IFERROR(U53/Q53,0)</f>
        <v>-0.0793680052666226</v>
      </c>
      <c r="W53" s="25" t="str">
        <f aca="false">Assumptions!F105</f>
        <v>Illustrative (replace with pilot)</v>
      </c>
      <c r="X53" s="25" t="str">
        <f aca="false">Assumptions!C27&amp;" | "&amp;Assumptions!D27</f>
        <v>Garam Masala | 50g pouch</v>
      </c>
    </row>
    <row r="54" customFormat="false" ht="15" hidden="false" customHeight="false" outlineLevel="0" collapsed="false">
      <c r="A54" s="25" t="str">
        <f aca="false">Assumptions!A106</f>
        <v>FY23</v>
      </c>
      <c r="B54" s="25" t="str">
        <f aca="false">Assumptions!B106</f>
        <v>GIN_T</v>
      </c>
      <c r="C54" s="25" t="str">
        <f aca="false">Assumptions!B28</f>
        <v>Premixes</v>
      </c>
      <c r="D54" s="25" t="str">
        <f aca="false">Assumptions!C106</f>
        <v>GT</v>
      </c>
      <c r="E54" s="20" t="n">
        <f aca="false">Assumptions!E28*(1+Assumptions!$C$11)^1</f>
        <v>10</v>
      </c>
      <c r="F54" s="20" t="n">
        <f aca="false">Assumptions!F28*(1+Assumptions!$C$12)^1</f>
        <v>4.35</v>
      </c>
      <c r="G54" s="25" t="n">
        <f aca="false">Assumptions!G28</f>
        <v>26</v>
      </c>
      <c r="H54" s="33" t="n">
        <f aca="false">Assumptions!D106</f>
        <v>29120</v>
      </c>
      <c r="I54" s="34" t="n">
        <f aca="false">Assumptions!E106</f>
        <v>4.58</v>
      </c>
      <c r="J54" s="35" t="n">
        <f aca="false">Assumptions!$C$13</f>
        <v>0.95</v>
      </c>
      <c r="K54" s="35" t="n">
        <f aca="false">Assumptions!B40</f>
        <v>0.25</v>
      </c>
      <c r="L54" s="35" t="n">
        <f aca="false">Assumptions!C40+IF(Assumptions!$C$6="Downside",Assumptions!$C$9,0)</f>
        <v>0.065</v>
      </c>
      <c r="M54" s="25" t="n">
        <f aca="false">Assumptions!E40</f>
        <v>1</v>
      </c>
      <c r="N54" s="36" t="n">
        <f aca="false">H54*I54*G54*IF(Assumptions!$C$6="Downside",1-Assumptions!$C$7,1)</f>
        <v>3467609.6</v>
      </c>
      <c r="O54" s="36" t="n">
        <f aca="false">N54*J54</f>
        <v>3294229.12</v>
      </c>
      <c r="P54" s="37" t="n">
        <f aca="false">E54*(1-K54)</f>
        <v>7.5</v>
      </c>
      <c r="Q54" s="37" t="n">
        <f aca="false">O54*P54/10000000</f>
        <v>2.47067184</v>
      </c>
      <c r="R54" s="37" t="n">
        <f aca="false">O54*F54/10000000+IF(Assumptions!$C$6="Downside",Q54*Assumptions!$C$8,0)</f>
        <v>1.4329896672</v>
      </c>
      <c r="S54" s="37" t="n">
        <f aca="false">Q54*L54</f>
        <v>0.1605936696</v>
      </c>
      <c r="T54" s="37" t="n">
        <f aca="false">O54*M54/10000000</f>
        <v>0.329422912</v>
      </c>
      <c r="U54" s="37" t="n">
        <f aca="false">Q54-SUM(R54:T54)</f>
        <v>0.5476655912</v>
      </c>
      <c r="V54" s="28" t="n">
        <f aca="false">IFERROR(U54/Q54,0)</f>
        <v>0.221666666666667</v>
      </c>
      <c r="W54" s="25" t="str">
        <f aca="false">Assumptions!F106</f>
        <v>Illustrative (replace with pilot)</v>
      </c>
      <c r="X54" s="25" t="str">
        <f aca="false">Assumptions!C28&amp;" | "&amp;Assumptions!D28</f>
        <v>Ginger-Lemon Hot Drink | 15g single sachet</v>
      </c>
    </row>
    <row r="55" customFormat="false" ht="15" hidden="false" customHeight="false" outlineLevel="0" collapsed="false">
      <c r="A55" s="25" t="str">
        <f aca="false">Assumptions!A107</f>
        <v>FY23</v>
      </c>
      <c r="B55" s="25" t="str">
        <f aca="false">Assumptions!B107</f>
        <v>GIN_T</v>
      </c>
      <c r="C55" s="25" t="str">
        <f aca="false">Assumptions!B28</f>
        <v>Premixes</v>
      </c>
      <c r="D55" s="25" t="str">
        <f aca="false">Assumptions!C107</f>
        <v>Modern</v>
      </c>
      <c r="E55" s="20" t="n">
        <f aca="false">Assumptions!E28*(1+Assumptions!$C$11)^1</f>
        <v>10</v>
      </c>
      <c r="F55" s="20" t="n">
        <f aca="false">Assumptions!F28*(1+Assumptions!$C$12)^1</f>
        <v>4.35</v>
      </c>
      <c r="G55" s="25" t="n">
        <f aca="false">Assumptions!G28</f>
        <v>26</v>
      </c>
      <c r="H55" s="33" t="n">
        <f aca="false">Assumptions!D107</f>
        <v>1019</v>
      </c>
      <c r="I55" s="34" t="n">
        <f aca="false">Assumptions!E107</f>
        <v>18.3</v>
      </c>
      <c r="J55" s="35" t="n">
        <f aca="false">Assumptions!$C$13</f>
        <v>0.95</v>
      </c>
      <c r="K55" s="35" t="n">
        <f aca="false">Assumptions!B41</f>
        <v>0.28</v>
      </c>
      <c r="L55" s="35" t="n">
        <f aca="false">Assumptions!C41+IF(Assumptions!$C$6="Downside",Assumptions!$C$9,0)</f>
        <v>0.14</v>
      </c>
      <c r="M55" s="25" t="n">
        <f aca="false">Assumptions!E41</f>
        <v>1.7</v>
      </c>
      <c r="N55" s="36" t="n">
        <f aca="false">H55*I55*G55*IF(Assumptions!$C$6="Downside",1-Assumptions!$C$7,1)</f>
        <v>484840.2</v>
      </c>
      <c r="O55" s="36" t="n">
        <f aca="false">N55*J55</f>
        <v>460598.19</v>
      </c>
      <c r="P55" s="37" t="n">
        <f aca="false">E55*(1-K55)</f>
        <v>7.2</v>
      </c>
      <c r="Q55" s="37" t="n">
        <f aca="false">O55*P55/10000000</f>
        <v>0.3316306968</v>
      </c>
      <c r="R55" s="37" t="n">
        <f aca="false">O55*F55/10000000+IF(Assumptions!$C$6="Downside",Q55*Assumptions!$C$8,0)</f>
        <v>0.20036021265</v>
      </c>
      <c r="S55" s="37" t="n">
        <f aca="false">Q55*L55</f>
        <v>0.046428297552</v>
      </c>
      <c r="T55" s="37" t="n">
        <f aca="false">O55*M55/10000000</f>
        <v>0.0783016923</v>
      </c>
      <c r="U55" s="37" t="n">
        <f aca="false">Q55-SUM(R55:T55)</f>
        <v>0.00654049429800002</v>
      </c>
      <c r="V55" s="28" t="n">
        <f aca="false">IFERROR(U55/Q55,0)</f>
        <v>0.0197222222222223</v>
      </c>
      <c r="W55" s="25" t="str">
        <f aca="false">Assumptions!F107</f>
        <v>Illustrative (replace with pilot)</v>
      </c>
      <c r="X55" s="25" t="str">
        <f aca="false">Assumptions!C28&amp;" | "&amp;Assumptions!D28</f>
        <v>Ginger-Lemon Hot Drink | 15g single sachet</v>
      </c>
    </row>
    <row r="56" customFormat="false" ht="15" hidden="false" customHeight="false" outlineLevel="0" collapsed="false">
      <c r="A56" s="25" t="str">
        <f aca="false">Assumptions!A108</f>
        <v>FY23</v>
      </c>
      <c r="B56" s="25" t="str">
        <f aca="false">Assumptions!B108</f>
        <v>GIN_T</v>
      </c>
      <c r="C56" s="25" t="str">
        <f aca="false">Assumptions!B28</f>
        <v>Premixes</v>
      </c>
      <c r="D56" s="25" t="str">
        <f aca="false">Assumptions!C108</f>
        <v>QCom</v>
      </c>
      <c r="E56" s="20" t="n">
        <f aca="false">Assumptions!E28*(1+Assumptions!$C$11)^1</f>
        <v>10</v>
      </c>
      <c r="F56" s="20" t="n">
        <f aca="false">Assumptions!F28*(1+Assumptions!$C$12)^1</f>
        <v>4.35</v>
      </c>
      <c r="G56" s="25" t="n">
        <f aca="false">Assumptions!G28</f>
        <v>26</v>
      </c>
      <c r="H56" s="33" t="n">
        <f aca="false">Assumptions!D108</f>
        <v>408</v>
      </c>
      <c r="I56" s="34" t="n">
        <f aca="false">Assumptions!E108</f>
        <v>54.91</v>
      </c>
      <c r="J56" s="35" t="n">
        <f aca="false">Assumptions!$C$13</f>
        <v>0.95</v>
      </c>
      <c r="K56" s="35" t="n">
        <f aca="false">Assumptions!B42</f>
        <v>0.38</v>
      </c>
      <c r="L56" s="35" t="n">
        <f aca="false">Assumptions!C42+IF(Assumptions!$C$6="Downside",Assumptions!$C$9,0)</f>
        <v>0.24</v>
      </c>
      <c r="M56" s="25" t="n">
        <f aca="false">Assumptions!E42</f>
        <v>2</v>
      </c>
      <c r="N56" s="36" t="n">
        <f aca="false">H56*I56*G56*IF(Assumptions!$C$6="Downside",1-Assumptions!$C$7,1)</f>
        <v>582485.28</v>
      </c>
      <c r="O56" s="36" t="n">
        <f aca="false">N56*J56</f>
        <v>553361.016</v>
      </c>
      <c r="P56" s="37" t="n">
        <f aca="false">E56*(1-K56)</f>
        <v>6.2</v>
      </c>
      <c r="Q56" s="37" t="n">
        <f aca="false">O56*P56/10000000</f>
        <v>0.34308382992</v>
      </c>
      <c r="R56" s="37" t="n">
        <f aca="false">O56*F56/10000000+IF(Assumptions!$C$6="Downside",Q56*Assumptions!$C$8,0)</f>
        <v>0.24071204196</v>
      </c>
      <c r="S56" s="37" t="n">
        <f aca="false">Q56*L56</f>
        <v>0.0823401191808</v>
      </c>
      <c r="T56" s="37" t="n">
        <f aca="false">O56*M56/10000000</f>
        <v>0.1106722032</v>
      </c>
      <c r="U56" s="37" t="n">
        <f aca="false">Q56-SUM(R56:T56)</f>
        <v>-0.0906405344208</v>
      </c>
      <c r="V56" s="28" t="n">
        <f aca="false">IFERROR(U56/Q56,0)</f>
        <v>-0.264193548387097</v>
      </c>
      <c r="W56" s="25" t="str">
        <f aca="false">Assumptions!F108</f>
        <v>Illustrative (replace with pilot)</v>
      </c>
      <c r="X56" s="25" t="str">
        <f aca="false">Assumptions!C28&amp;" | "&amp;Assumptions!D28</f>
        <v>Ginger-Lemon Hot Drink | 15g single sachet</v>
      </c>
    </row>
    <row r="57" customFormat="false" ht="15" hidden="false" customHeight="false" outlineLevel="0" collapsed="false">
      <c r="A57" s="25" t="str">
        <f aca="false">Assumptions!A109</f>
        <v>FY23</v>
      </c>
      <c r="B57" s="25" t="str">
        <f aca="false">Assumptions!B109</f>
        <v>GIN_L</v>
      </c>
      <c r="C57" s="25" t="str">
        <f aca="false">Assumptions!B29</f>
        <v>Premixes</v>
      </c>
      <c r="D57" s="25" t="str">
        <f aca="false">Assumptions!C109</f>
        <v>GT</v>
      </c>
      <c r="E57" s="20" t="n">
        <f aca="false">Assumptions!E29*(1+Assumptions!$C$11)^1</f>
        <v>99</v>
      </c>
      <c r="F57" s="20" t="n">
        <f aca="false">Assumptions!F29*(1+Assumptions!$C$12)^1</f>
        <v>44</v>
      </c>
      <c r="G57" s="25" t="n">
        <f aca="false">Assumptions!G29</f>
        <v>26</v>
      </c>
      <c r="H57" s="33" t="n">
        <f aca="false">Assumptions!D109</f>
        <v>21840</v>
      </c>
      <c r="I57" s="34" t="n">
        <f aca="false">Assumptions!E109</f>
        <v>3.7</v>
      </c>
      <c r="J57" s="35" t="n">
        <f aca="false">Assumptions!$C$13</f>
        <v>0.95</v>
      </c>
      <c r="K57" s="35" t="n">
        <f aca="false">Assumptions!B40</f>
        <v>0.25</v>
      </c>
      <c r="L57" s="35" t="n">
        <f aca="false">Assumptions!C40+IF(Assumptions!$C$6="Downside",Assumptions!$C$9,0)</f>
        <v>0.065</v>
      </c>
      <c r="M57" s="25" t="n">
        <f aca="false">Assumptions!E40</f>
        <v>1</v>
      </c>
      <c r="N57" s="36" t="n">
        <f aca="false">H57*I57*G57*IF(Assumptions!$C$6="Downside",1-Assumptions!$C$7,1)</f>
        <v>2101008</v>
      </c>
      <c r="O57" s="36" t="n">
        <f aca="false">N57*J57</f>
        <v>1995957.6</v>
      </c>
      <c r="P57" s="37" t="n">
        <f aca="false">E57*(1-K57)</f>
        <v>74.25</v>
      </c>
      <c r="Q57" s="37" t="n">
        <f aca="false">O57*P57/10000000</f>
        <v>14.81998518</v>
      </c>
      <c r="R57" s="37" t="n">
        <f aca="false">O57*F57/10000000+IF(Assumptions!$C$6="Downside",Q57*Assumptions!$C$8,0)</f>
        <v>8.78221344</v>
      </c>
      <c r="S57" s="37" t="n">
        <f aca="false">Q57*L57</f>
        <v>0.9632990367</v>
      </c>
      <c r="T57" s="37" t="n">
        <f aca="false">O57*M57/10000000</f>
        <v>0.19959576</v>
      </c>
      <c r="U57" s="37" t="n">
        <f aca="false">Q57-SUM(R57:T57)</f>
        <v>4.8748769433</v>
      </c>
      <c r="V57" s="28" t="n">
        <f aca="false">IFERROR(U57/Q57,0)</f>
        <v>0.328939393939394</v>
      </c>
      <c r="W57" s="25" t="str">
        <f aca="false">Assumptions!F109</f>
        <v>Illustrative (replace with pilot)</v>
      </c>
      <c r="X57" s="25" t="str">
        <f aca="false">Assumptions!C29&amp;" | "&amp;Assumptions!D29</f>
        <v>Ginger-Lemon Hot Drink | 10-sachet pack</v>
      </c>
    </row>
    <row r="58" customFormat="false" ht="15" hidden="false" customHeight="false" outlineLevel="0" collapsed="false">
      <c r="A58" s="25" t="str">
        <f aca="false">Assumptions!A110</f>
        <v>FY23</v>
      </c>
      <c r="B58" s="25" t="str">
        <f aca="false">Assumptions!B110</f>
        <v>GIN_L</v>
      </c>
      <c r="C58" s="25" t="str">
        <f aca="false">Assumptions!B29</f>
        <v>Premixes</v>
      </c>
      <c r="D58" s="25" t="str">
        <f aca="false">Assumptions!C110</f>
        <v>Modern</v>
      </c>
      <c r="E58" s="20" t="n">
        <f aca="false">Assumptions!E29*(1+Assumptions!$C$11)^1</f>
        <v>99</v>
      </c>
      <c r="F58" s="20" t="n">
        <f aca="false">Assumptions!F29*(1+Assumptions!$C$12)^1</f>
        <v>44</v>
      </c>
      <c r="G58" s="25" t="n">
        <f aca="false">Assumptions!G29</f>
        <v>26</v>
      </c>
      <c r="H58" s="33" t="n">
        <f aca="false">Assumptions!D110</f>
        <v>764</v>
      </c>
      <c r="I58" s="34" t="n">
        <f aca="false">Assumptions!E110</f>
        <v>14.78</v>
      </c>
      <c r="J58" s="35" t="n">
        <f aca="false">Assumptions!$C$13</f>
        <v>0.95</v>
      </c>
      <c r="K58" s="35" t="n">
        <f aca="false">Assumptions!B41</f>
        <v>0.28</v>
      </c>
      <c r="L58" s="35" t="n">
        <f aca="false">Assumptions!C41+IF(Assumptions!$C$6="Downside",Assumptions!$C$9,0)</f>
        <v>0.14</v>
      </c>
      <c r="M58" s="25" t="n">
        <f aca="false">Assumptions!E41</f>
        <v>1.7</v>
      </c>
      <c r="N58" s="36" t="n">
        <f aca="false">H58*I58*G58*IF(Assumptions!$C$6="Downside",1-Assumptions!$C$7,1)</f>
        <v>293589.92</v>
      </c>
      <c r="O58" s="36" t="n">
        <f aca="false">N58*J58</f>
        <v>278910.424</v>
      </c>
      <c r="P58" s="37" t="n">
        <f aca="false">E58*(1-K58)</f>
        <v>71.28</v>
      </c>
      <c r="Q58" s="37" t="n">
        <f aca="false">O58*P58/10000000</f>
        <v>1.988073502272</v>
      </c>
      <c r="R58" s="37" t="n">
        <f aca="false">O58*F58/10000000+IF(Assumptions!$C$6="Downside",Q58*Assumptions!$C$8,0)</f>
        <v>1.2272058656</v>
      </c>
      <c r="S58" s="37" t="n">
        <f aca="false">Q58*L58</f>
        <v>0.27833029031808</v>
      </c>
      <c r="T58" s="37" t="n">
        <f aca="false">O58*M58/10000000</f>
        <v>0.04741477208</v>
      </c>
      <c r="U58" s="37" t="n">
        <f aca="false">Q58-SUM(R58:T58)</f>
        <v>0.43512257427392</v>
      </c>
      <c r="V58" s="28" t="n">
        <f aca="false">IFERROR(U58/Q58,0)</f>
        <v>0.218866442199776</v>
      </c>
      <c r="W58" s="25" t="str">
        <f aca="false">Assumptions!F110</f>
        <v>Illustrative (replace with pilot)</v>
      </c>
      <c r="X58" s="25" t="str">
        <f aca="false">Assumptions!C29&amp;" | "&amp;Assumptions!D29</f>
        <v>Ginger-Lemon Hot Drink | 10-sachet pack</v>
      </c>
    </row>
    <row r="59" customFormat="false" ht="15" hidden="false" customHeight="false" outlineLevel="0" collapsed="false">
      <c r="A59" s="25" t="str">
        <f aca="false">Assumptions!A111</f>
        <v>FY23</v>
      </c>
      <c r="B59" s="25" t="str">
        <f aca="false">Assumptions!B111</f>
        <v>GIN_L</v>
      </c>
      <c r="C59" s="25" t="str">
        <f aca="false">Assumptions!B29</f>
        <v>Premixes</v>
      </c>
      <c r="D59" s="25" t="str">
        <f aca="false">Assumptions!C111</f>
        <v>QCom</v>
      </c>
      <c r="E59" s="20" t="n">
        <f aca="false">Assumptions!E29*(1+Assumptions!$C$11)^1</f>
        <v>99</v>
      </c>
      <c r="F59" s="20" t="n">
        <f aca="false">Assumptions!F29*(1+Assumptions!$C$12)^1</f>
        <v>44</v>
      </c>
      <c r="G59" s="25" t="n">
        <f aca="false">Assumptions!G29</f>
        <v>26</v>
      </c>
      <c r="H59" s="33" t="n">
        <f aca="false">Assumptions!D111</f>
        <v>306</v>
      </c>
      <c r="I59" s="34" t="n">
        <f aca="false">Assumptions!E111</f>
        <v>44.35</v>
      </c>
      <c r="J59" s="35" t="n">
        <f aca="false">Assumptions!$C$13</f>
        <v>0.95</v>
      </c>
      <c r="K59" s="35" t="n">
        <f aca="false">Assumptions!B42</f>
        <v>0.38</v>
      </c>
      <c r="L59" s="35" t="n">
        <f aca="false">Assumptions!C42+IF(Assumptions!$C$6="Downside",Assumptions!$C$9,0)</f>
        <v>0.24</v>
      </c>
      <c r="M59" s="25" t="n">
        <f aca="false">Assumptions!E42</f>
        <v>2</v>
      </c>
      <c r="N59" s="36" t="n">
        <f aca="false">H59*I59*G59*IF(Assumptions!$C$6="Downside",1-Assumptions!$C$7,1)</f>
        <v>352848.6</v>
      </c>
      <c r="O59" s="36" t="n">
        <f aca="false">N59*J59</f>
        <v>335206.17</v>
      </c>
      <c r="P59" s="37" t="n">
        <f aca="false">E59*(1-K59)</f>
        <v>61.38</v>
      </c>
      <c r="Q59" s="37" t="n">
        <f aca="false">O59*P59/10000000</f>
        <v>2.05749547146</v>
      </c>
      <c r="R59" s="37" t="n">
        <f aca="false">O59*F59/10000000+IF(Assumptions!$C$6="Downside",Q59*Assumptions!$C$8,0)</f>
        <v>1.474907148</v>
      </c>
      <c r="S59" s="37" t="n">
        <f aca="false">Q59*L59</f>
        <v>0.4937989131504</v>
      </c>
      <c r="T59" s="37" t="n">
        <f aca="false">O59*M59/10000000</f>
        <v>0.067041234</v>
      </c>
      <c r="U59" s="37" t="n">
        <f aca="false">Q59-SUM(R59:T59)</f>
        <v>0.0217481763095999</v>
      </c>
      <c r="V59" s="28" t="n">
        <f aca="false">IFERROR(U59/Q59,0)</f>
        <v>0.0105702183121538</v>
      </c>
      <c r="W59" s="25" t="str">
        <f aca="false">Assumptions!F111</f>
        <v>Illustrative (replace with pilot)</v>
      </c>
      <c r="X59" s="25" t="str">
        <f aca="false">Assumptions!C29&amp;" | "&amp;Assumptions!D29</f>
        <v>Ginger-Lemon Hot Drink | 10-sachet pack</v>
      </c>
    </row>
    <row r="60" customFormat="false" ht="15" hidden="false" customHeight="false" outlineLevel="0" collapsed="false">
      <c r="A60" s="25" t="str">
        <f aca="false">Assumptions!A112</f>
        <v>FY23</v>
      </c>
      <c r="B60" s="25" t="str">
        <f aca="false">Assumptions!B112</f>
        <v>BAD_T</v>
      </c>
      <c r="C60" s="25" t="str">
        <f aca="false">Assumptions!B30</f>
        <v>Premixes</v>
      </c>
      <c r="D60" s="25" t="str">
        <f aca="false">Assumptions!C112</f>
        <v>GT</v>
      </c>
      <c r="E60" s="20" t="n">
        <f aca="false">Assumptions!E30*(1+Assumptions!$C$11)^1</f>
        <v>10</v>
      </c>
      <c r="F60" s="20" t="n">
        <f aca="false">Assumptions!F30*(1+Assumptions!$C$12)^1</f>
        <v>4.5</v>
      </c>
      <c r="G60" s="25" t="n">
        <f aca="false">Assumptions!G30</f>
        <v>26</v>
      </c>
      <c r="H60" s="33" t="n">
        <f aca="false">Assumptions!D112</f>
        <v>23520</v>
      </c>
      <c r="I60" s="34" t="n">
        <f aca="false">Assumptions!E112</f>
        <v>3.17</v>
      </c>
      <c r="J60" s="35" t="n">
        <f aca="false">Assumptions!$C$13</f>
        <v>0.95</v>
      </c>
      <c r="K60" s="35" t="n">
        <f aca="false">Assumptions!B40</f>
        <v>0.25</v>
      </c>
      <c r="L60" s="35" t="n">
        <f aca="false">Assumptions!C40+IF(Assumptions!$C$6="Downside",Assumptions!$C$9,0)</f>
        <v>0.065</v>
      </c>
      <c r="M60" s="25" t="n">
        <f aca="false">Assumptions!E40</f>
        <v>1</v>
      </c>
      <c r="N60" s="36" t="n">
        <f aca="false">H60*I60*G60*IF(Assumptions!$C$6="Downside",1-Assumptions!$C$7,1)</f>
        <v>1938518.4</v>
      </c>
      <c r="O60" s="36" t="n">
        <f aca="false">N60*J60</f>
        <v>1841592.48</v>
      </c>
      <c r="P60" s="37" t="n">
        <f aca="false">E60*(1-K60)</f>
        <v>7.5</v>
      </c>
      <c r="Q60" s="37" t="n">
        <f aca="false">O60*P60/10000000</f>
        <v>1.38119436</v>
      </c>
      <c r="R60" s="37" t="n">
        <f aca="false">O60*F60/10000000+IF(Assumptions!$C$6="Downside",Q60*Assumptions!$C$8,0)</f>
        <v>0.828716616</v>
      </c>
      <c r="S60" s="37" t="n">
        <f aca="false">Q60*L60</f>
        <v>0.0897776334</v>
      </c>
      <c r="T60" s="37" t="n">
        <f aca="false">O60*M60/10000000</f>
        <v>0.184159248</v>
      </c>
      <c r="U60" s="37" t="n">
        <f aca="false">Q60-SUM(R60:T60)</f>
        <v>0.2785408626</v>
      </c>
      <c r="V60" s="28" t="n">
        <f aca="false">IFERROR(U60/Q60,0)</f>
        <v>0.201666666666667</v>
      </c>
      <c r="W60" s="25" t="str">
        <f aca="false">Assumptions!F112</f>
        <v>Illustrative (replace with pilot)</v>
      </c>
      <c r="X60" s="25" t="str">
        <f aca="false">Assumptions!C30&amp;" | "&amp;Assumptions!D30</f>
        <v>Badam-Elaichi Milk Mix | 15g single sachet</v>
      </c>
    </row>
    <row r="61" customFormat="false" ht="15" hidden="false" customHeight="false" outlineLevel="0" collapsed="false">
      <c r="A61" s="25" t="str">
        <f aca="false">Assumptions!A113</f>
        <v>FY23</v>
      </c>
      <c r="B61" s="25" t="str">
        <f aca="false">Assumptions!B113</f>
        <v>BAD_T</v>
      </c>
      <c r="C61" s="25" t="str">
        <f aca="false">Assumptions!B30</f>
        <v>Premixes</v>
      </c>
      <c r="D61" s="25" t="str">
        <f aca="false">Assumptions!C113</f>
        <v>Modern</v>
      </c>
      <c r="E61" s="20" t="n">
        <f aca="false">Assumptions!E30*(1+Assumptions!$C$11)^1</f>
        <v>10</v>
      </c>
      <c r="F61" s="20" t="n">
        <f aca="false">Assumptions!F30*(1+Assumptions!$C$12)^1</f>
        <v>4.5</v>
      </c>
      <c r="G61" s="25" t="n">
        <f aca="false">Assumptions!G30</f>
        <v>26</v>
      </c>
      <c r="H61" s="33" t="n">
        <f aca="false">Assumptions!D113</f>
        <v>823</v>
      </c>
      <c r="I61" s="34" t="n">
        <f aca="false">Assumptions!E113</f>
        <v>12.67</v>
      </c>
      <c r="J61" s="35" t="n">
        <f aca="false">Assumptions!$C$13</f>
        <v>0.95</v>
      </c>
      <c r="K61" s="35" t="n">
        <f aca="false">Assumptions!B41</f>
        <v>0.28</v>
      </c>
      <c r="L61" s="35" t="n">
        <f aca="false">Assumptions!C41+IF(Assumptions!$C$6="Downside",Assumptions!$C$9,0)</f>
        <v>0.14</v>
      </c>
      <c r="M61" s="25" t="n">
        <f aca="false">Assumptions!E41</f>
        <v>1.7</v>
      </c>
      <c r="N61" s="36" t="n">
        <f aca="false">H61*I61*G61*IF(Assumptions!$C$6="Downside",1-Assumptions!$C$7,1)</f>
        <v>271112.66</v>
      </c>
      <c r="O61" s="36" t="n">
        <f aca="false">N61*J61</f>
        <v>257557.027</v>
      </c>
      <c r="P61" s="37" t="n">
        <f aca="false">E61*(1-K61)</f>
        <v>7.2</v>
      </c>
      <c r="Q61" s="37" t="n">
        <f aca="false">O61*P61/10000000</f>
        <v>0.18544105944</v>
      </c>
      <c r="R61" s="37" t="n">
        <f aca="false">O61*F61/10000000+IF(Assumptions!$C$6="Downside",Q61*Assumptions!$C$8,0)</f>
        <v>0.11590066215</v>
      </c>
      <c r="S61" s="37" t="n">
        <f aca="false">Q61*L61</f>
        <v>0.0259617483216</v>
      </c>
      <c r="T61" s="37" t="n">
        <f aca="false">O61*M61/10000000</f>
        <v>0.04378469459</v>
      </c>
      <c r="U61" s="37" t="n">
        <f aca="false">Q61-SUM(R61:T61)</f>
        <v>-0.00020604562160001</v>
      </c>
      <c r="V61" s="28" t="n">
        <f aca="false">IFERROR(U61/Q61,0)</f>
        <v>-0.00111111111111116</v>
      </c>
      <c r="W61" s="25" t="str">
        <f aca="false">Assumptions!F113</f>
        <v>Illustrative (replace with pilot)</v>
      </c>
      <c r="X61" s="25" t="str">
        <f aca="false">Assumptions!C30&amp;" | "&amp;Assumptions!D30</f>
        <v>Badam-Elaichi Milk Mix | 15g single sachet</v>
      </c>
    </row>
    <row r="62" customFormat="false" ht="15" hidden="false" customHeight="false" outlineLevel="0" collapsed="false">
      <c r="A62" s="25" t="str">
        <f aca="false">Assumptions!A114</f>
        <v>FY23</v>
      </c>
      <c r="B62" s="25" t="str">
        <f aca="false">Assumptions!B114</f>
        <v>BAD_T</v>
      </c>
      <c r="C62" s="25" t="str">
        <f aca="false">Assumptions!B30</f>
        <v>Premixes</v>
      </c>
      <c r="D62" s="25" t="str">
        <f aca="false">Assumptions!C114</f>
        <v>QCom</v>
      </c>
      <c r="E62" s="20" t="n">
        <f aca="false">Assumptions!E30*(1+Assumptions!$C$11)^1</f>
        <v>10</v>
      </c>
      <c r="F62" s="20" t="n">
        <f aca="false">Assumptions!F30*(1+Assumptions!$C$12)^1</f>
        <v>4.5</v>
      </c>
      <c r="G62" s="25" t="n">
        <f aca="false">Assumptions!G30</f>
        <v>26</v>
      </c>
      <c r="H62" s="33" t="n">
        <f aca="false">Assumptions!D114</f>
        <v>329</v>
      </c>
      <c r="I62" s="34" t="n">
        <f aca="false">Assumptions!E114</f>
        <v>38.02</v>
      </c>
      <c r="J62" s="35" t="n">
        <f aca="false">Assumptions!$C$13</f>
        <v>0.95</v>
      </c>
      <c r="K62" s="35" t="n">
        <f aca="false">Assumptions!B42</f>
        <v>0.38</v>
      </c>
      <c r="L62" s="35" t="n">
        <f aca="false">Assumptions!C42+IF(Assumptions!$C$6="Downside",Assumptions!$C$9,0)</f>
        <v>0.24</v>
      </c>
      <c r="M62" s="25" t="n">
        <f aca="false">Assumptions!E42</f>
        <v>2</v>
      </c>
      <c r="N62" s="36" t="n">
        <f aca="false">H62*I62*G62*IF(Assumptions!$C$6="Downside",1-Assumptions!$C$7,1)</f>
        <v>325223.08</v>
      </c>
      <c r="O62" s="36" t="n">
        <f aca="false">N62*J62</f>
        <v>308961.926</v>
      </c>
      <c r="P62" s="37" t="n">
        <f aca="false">E62*(1-K62)</f>
        <v>6.2</v>
      </c>
      <c r="Q62" s="37" t="n">
        <f aca="false">O62*P62/10000000</f>
        <v>0.19155639412</v>
      </c>
      <c r="R62" s="37" t="n">
        <f aca="false">O62*F62/10000000+IF(Assumptions!$C$6="Downside",Q62*Assumptions!$C$8,0)</f>
        <v>0.1390328667</v>
      </c>
      <c r="S62" s="37" t="n">
        <f aca="false">Q62*L62</f>
        <v>0.0459735345888</v>
      </c>
      <c r="T62" s="37" t="n">
        <f aca="false">O62*M62/10000000</f>
        <v>0.0617923852</v>
      </c>
      <c r="U62" s="37" t="n">
        <f aca="false">Q62-SUM(R62:T62)</f>
        <v>-0.0552423923688</v>
      </c>
      <c r="V62" s="28" t="n">
        <f aca="false">IFERROR(U62/Q62,0)</f>
        <v>-0.288387096774194</v>
      </c>
      <c r="W62" s="25" t="str">
        <f aca="false">Assumptions!F114</f>
        <v>Illustrative (replace with pilot)</v>
      </c>
      <c r="X62" s="25" t="str">
        <f aca="false">Assumptions!C30&amp;" | "&amp;Assumptions!D30</f>
        <v>Badam-Elaichi Milk Mix | 15g single sachet</v>
      </c>
    </row>
    <row r="63" customFormat="false" ht="15" hidden="false" customHeight="false" outlineLevel="0" collapsed="false">
      <c r="A63" s="25" t="str">
        <f aca="false">Assumptions!A115</f>
        <v>FY23</v>
      </c>
      <c r="B63" s="25" t="str">
        <f aca="false">Assumptions!B115</f>
        <v>BAD_L</v>
      </c>
      <c r="C63" s="25" t="str">
        <f aca="false">Assumptions!B31</f>
        <v>Premixes</v>
      </c>
      <c r="D63" s="25" t="str">
        <f aca="false">Assumptions!C115</f>
        <v>GT</v>
      </c>
      <c r="E63" s="20" t="n">
        <f aca="false">Assumptions!E31*(1+Assumptions!$C$11)^1</f>
        <v>99</v>
      </c>
      <c r="F63" s="20" t="n">
        <f aca="false">Assumptions!F31*(1+Assumptions!$C$12)^1</f>
        <v>45.5</v>
      </c>
      <c r="G63" s="25" t="n">
        <f aca="false">Assumptions!G31</f>
        <v>26</v>
      </c>
      <c r="H63" s="33" t="n">
        <f aca="false">Assumptions!D115</f>
        <v>19040</v>
      </c>
      <c r="I63" s="34" t="n">
        <f aca="false">Assumptions!E115</f>
        <v>2.9</v>
      </c>
      <c r="J63" s="35" t="n">
        <f aca="false">Assumptions!$C$13</f>
        <v>0.95</v>
      </c>
      <c r="K63" s="35" t="n">
        <f aca="false">Assumptions!B40</f>
        <v>0.25</v>
      </c>
      <c r="L63" s="35" t="n">
        <f aca="false">Assumptions!C40+IF(Assumptions!$C$6="Downside",Assumptions!$C$9,0)</f>
        <v>0.065</v>
      </c>
      <c r="M63" s="25" t="n">
        <f aca="false">Assumptions!E40</f>
        <v>1</v>
      </c>
      <c r="N63" s="36" t="n">
        <f aca="false">H63*I63*G63*IF(Assumptions!$C$6="Downside",1-Assumptions!$C$7,1)</f>
        <v>1435616</v>
      </c>
      <c r="O63" s="36" t="n">
        <f aca="false">N63*J63</f>
        <v>1363835.2</v>
      </c>
      <c r="P63" s="37" t="n">
        <f aca="false">E63*(1-K63)</f>
        <v>74.25</v>
      </c>
      <c r="Q63" s="37" t="n">
        <f aca="false">O63*P63/10000000</f>
        <v>10.12647636</v>
      </c>
      <c r="R63" s="37" t="n">
        <f aca="false">O63*F63/10000000+IF(Assumptions!$C$6="Downside",Q63*Assumptions!$C$8,0)</f>
        <v>6.20545016</v>
      </c>
      <c r="S63" s="37" t="n">
        <f aca="false">Q63*L63</f>
        <v>0.6582209634</v>
      </c>
      <c r="T63" s="37" t="n">
        <f aca="false">O63*M63/10000000</f>
        <v>0.13638352</v>
      </c>
      <c r="U63" s="37" t="n">
        <f aca="false">Q63-SUM(R63:T63)</f>
        <v>3.1264217166</v>
      </c>
      <c r="V63" s="28" t="n">
        <f aca="false">IFERROR(U63/Q63,0)</f>
        <v>0.308737373737374</v>
      </c>
      <c r="W63" s="25" t="str">
        <f aca="false">Assumptions!F115</f>
        <v>Illustrative (replace with pilot)</v>
      </c>
      <c r="X63" s="25" t="str">
        <f aca="false">Assumptions!C31&amp;" | "&amp;Assumptions!D31</f>
        <v>Badam-Elaichi Milk Mix | 150g pouch</v>
      </c>
    </row>
    <row r="64" customFormat="false" ht="15" hidden="false" customHeight="false" outlineLevel="0" collapsed="false">
      <c r="A64" s="25" t="str">
        <f aca="false">Assumptions!A116</f>
        <v>FY23</v>
      </c>
      <c r="B64" s="25" t="str">
        <f aca="false">Assumptions!B116</f>
        <v>BAD_L</v>
      </c>
      <c r="C64" s="25" t="str">
        <f aca="false">Assumptions!B31</f>
        <v>Premixes</v>
      </c>
      <c r="D64" s="25" t="str">
        <f aca="false">Assumptions!C116</f>
        <v>Modern</v>
      </c>
      <c r="E64" s="20" t="n">
        <f aca="false">Assumptions!E31*(1+Assumptions!$C$11)^1</f>
        <v>99</v>
      </c>
      <c r="F64" s="20" t="n">
        <f aca="false">Assumptions!F31*(1+Assumptions!$C$12)^1</f>
        <v>45.5</v>
      </c>
      <c r="G64" s="25" t="n">
        <f aca="false">Assumptions!G31</f>
        <v>26</v>
      </c>
      <c r="H64" s="33" t="n">
        <f aca="false">Assumptions!D116</f>
        <v>666</v>
      </c>
      <c r="I64" s="34" t="n">
        <f aca="false">Assumptions!E116</f>
        <v>11.62</v>
      </c>
      <c r="J64" s="35" t="n">
        <f aca="false">Assumptions!$C$13</f>
        <v>0.95</v>
      </c>
      <c r="K64" s="35" t="n">
        <f aca="false">Assumptions!B41</f>
        <v>0.28</v>
      </c>
      <c r="L64" s="35" t="n">
        <f aca="false">Assumptions!C41+IF(Assumptions!$C$6="Downside",Assumptions!$C$9,0)</f>
        <v>0.14</v>
      </c>
      <c r="M64" s="25" t="n">
        <f aca="false">Assumptions!E41</f>
        <v>1.7</v>
      </c>
      <c r="N64" s="36" t="n">
        <f aca="false">H64*I64*G64*IF(Assumptions!$C$6="Downside",1-Assumptions!$C$7,1)</f>
        <v>201211.92</v>
      </c>
      <c r="O64" s="36" t="n">
        <f aca="false">N64*J64</f>
        <v>191151.324</v>
      </c>
      <c r="P64" s="37" t="n">
        <f aca="false">E64*(1-K64)</f>
        <v>71.28</v>
      </c>
      <c r="Q64" s="37" t="n">
        <f aca="false">O64*P64/10000000</f>
        <v>1.362526637472</v>
      </c>
      <c r="R64" s="37" t="n">
        <f aca="false">O64*F64/10000000+IF(Assumptions!$C$6="Downside",Q64*Assumptions!$C$8,0)</f>
        <v>0.8697385242</v>
      </c>
      <c r="S64" s="37" t="n">
        <f aca="false">Q64*L64</f>
        <v>0.19075372924608</v>
      </c>
      <c r="T64" s="37" t="n">
        <f aca="false">O64*M64/10000000</f>
        <v>0.03249572508</v>
      </c>
      <c r="U64" s="37" t="n">
        <f aca="false">Q64-SUM(R64:T64)</f>
        <v>0.26953865894592</v>
      </c>
      <c r="V64" s="28" t="n">
        <f aca="false">IFERROR(U64/Q64,0)</f>
        <v>0.197822671156004</v>
      </c>
      <c r="W64" s="25" t="str">
        <f aca="false">Assumptions!F116</f>
        <v>Illustrative (replace with pilot)</v>
      </c>
      <c r="X64" s="25" t="str">
        <f aca="false">Assumptions!C31&amp;" | "&amp;Assumptions!D31</f>
        <v>Badam-Elaichi Milk Mix | 150g pouch</v>
      </c>
    </row>
    <row r="65" customFormat="false" ht="15" hidden="false" customHeight="false" outlineLevel="0" collapsed="false">
      <c r="A65" s="25" t="str">
        <f aca="false">Assumptions!A117</f>
        <v>FY23</v>
      </c>
      <c r="B65" s="25" t="str">
        <f aca="false">Assumptions!B117</f>
        <v>BAD_L</v>
      </c>
      <c r="C65" s="25" t="str">
        <f aca="false">Assumptions!B31</f>
        <v>Premixes</v>
      </c>
      <c r="D65" s="25" t="str">
        <f aca="false">Assumptions!C117</f>
        <v>QCom</v>
      </c>
      <c r="E65" s="20" t="n">
        <f aca="false">Assumptions!E31*(1+Assumptions!$C$11)^1</f>
        <v>99</v>
      </c>
      <c r="F65" s="20" t="n">
        <f aca="false">Assumptions!F31*(1+Assumptions!$C$12)^1</f>
        <v>45.5</v>
      </c>
      <c r="G65" s="25" t="n">
        <f aca="false">Assumptions!G31</f>
        <v>26</v>
      </c>
      <c r="H65" s="33" t="n">
        <f aca="false">Assumptions!D117</f>
        <v>267</v>
      </c>
      <c r="I65" s="34" t="n">
        <f aca="false">Assumptions!E117</f>
        <v>34.85</v>
      </c>
      <c r="J65" s="35" t="n">
        <f aca="false">Assumptions!$C$13</f>
        <v>0.95</v>
      </c>
      <c r="K65" s="35" t="n">
        <f aca="false">Assumptions!B42</f>
        <v>0.38</v>
      </c>
      <c r="L65" s="35" t="n">
        <f aca="false">Assumptions!C42+IF(Assumptions!$C$6="Downside",Assumptions!$C$9,0)</f>
        <v>0.24</v>
      </c>
      <c r="M65" s="25" t="n">
        <f aca="false">Assumptions!E42</f>
        <v>2</v>
      </c>
      <c r="N65" s="36" t="n">
        <f aca="false">H65*I65*G65*IF(Assumptions!$C$6="Downside",1-Assumptions!$C$7,1)</f>
        <v>241928.7</v>
      </c>
      <c r="O65" s="36" t="n">
        <f aca="false">N65*J65</f>
        <v>229832.265</v>
      </c>
      <c r="P65" s="37" t="n">
        <f aca="false">E65*(1-K65)</f>
        <v>61.38</v>
      </c>
      <c r="Q65" s="37" t="n">
        <f aca="false">O65*P65/10000000</f>
        <v>1.41071044257</v>
      </c>
      <c r="R65" s="37" t="n">
        <f aca="false">O65*F65/10000000+IF(Assumptions!$C$6="Downside",Q65*Assumptions!$C$8,0)</f>
        <v>1.04573680575</v>
      </c>
      <c r="S65" s="37" t="n">
        <f aca="false">Q65*L65</f>
        <v>0.3385705062168</v>
      </c>
      <c r="T65" s="37" t="n">
        <f aca="false">O65*M65/10000000</f>
        <v>0.045966453</v>
      </c>
      <c r="U65" s="37" t="n">
        <f aca="false">Q65-SUM(R65:T65)</f>
        <v>-0.0195633223967999</v>
      </c>
      <c r="V65" s="28" t="n">
        <f aca="false">IFERROR(U65/Q65,0)</f>
        <v>-0.0138677093515803</v>
      </c>
      <c r="W65" s="25" t="str">
        <f aca="false">Assumptions!F117</f>
        <v>Illustrative (replace with pilot)</v>
      </c>
      <c r="X65" s="25" t="str">
        <f aca="false">Assumptions!C31&amp;" | "&amp;Assumptions!D31</f>
        <v>Badam-Elaichi Milk Mix | 150g pouch</v>
      </c>
    </row>
    <row r="66" customFormat="false" ht="15" hidden="false" customHeight="false" outlineLevel="0" collapsed="false">
      <c r="A66" s="25" t="str">
        <f aca="false">Assumptions!A118</f>
        <v>FY23</v>
      </c>
      <c r="B66" s="25" t="str">
        <f aca="false">Assumptions!B118</f>
        <v>CHU_T</v>
      </c>
      <c r="C66" s="25" t="str">
        <f aca="false">Assumptions!B32</f>
        <v>Condiments</v>
      </c>
      <c r="D66" s="25" t="str">
        <f aca="false">Assumptions!C118</f>
        <v>GT</v>
      </c>
      <c r="E66" s="20" t="n">
        <f aca="false">Assumptions!E32*(1+Assumptions!$C$11)^1</f>
        <v>10</v>
      </c>
      <c r="F66" s="20" t="n">
        <f aca="false">Assumptions!F32*(1+Assumptions!$C$12)^1</f>
        <v>4.8</v>
      </c>
      <c r="G66" s="25" t="n">
        <f aca="false">Assumptions!G32</f>
        <v>52</v>
      </c>
      <c r="H66" s="33" t="n">
        <f aca="false">Assumptions!D118</f>
        <v>24080</v>
      </c>
      <c r="I66" s="34" t="n">
        <f aca="false">Assumptions!E118</f>
        <v>2.55</v>
      </c>
      <c r="J66" s="35" t="n">
        <f aca="false">Assumptions!$C$13</f>
        <v>0.95</v>
      </c>
      <c r="K66" s="35" t="n">
        <f aca="false">Assumptions!B40</f>
        <v>0.25</v>
      </c>
      <c r="L66" s="35" t="n">
        <f aca="false">Assumptions!C40+IF(Assumptions!$C$6="Downside",Assumptions!$C$9,0)</f>
        <v>0.065</v>
      </c>
      <c r="M66" s="25" t="n">
        <f aca="false">Assumptions!E40</f>
        <v>1</v>
      </c>
      <c r="N66" s="36" t="n">
        <f aca="false">H66*I66*G66*IF(Assumptions!$C$6="Downside",1-Assumptions!$C$7,1)</f>
        <v>3193008</v>
      </c>
      <c r="O66" s="36" t="n">
        <f aca="false">N66*J66</f>
        <v>3033357.6</v>
      </c>
      <c r="P66" s="37" t="n">
        <f aca="false">E66*(1-K66)</f>
        <v>7.5</v>
      </c>
      <c r="Q66" s="37" t="n">
        <f aca="false">O66*P66/10000000</f>
        <v>2.2750182</v>
      </c>
      <c r="R66" s="37" t="n">
        <f aca="false">O66*F66/10000000+IF(Assumptions!$C$6="Downside",Q66*Assumptions!$C$8,0)</f>
        <v>1.456011648</v>
      </c>
      <c r="S66" s="37" t="n">
        <f aca="false">Q66*L66</f>
        <v>0.147876183</v>
      </c>
      <c r="T66" s="37" t="n">
        <f aca="false">O66*M66/10000000</f>
        <v>0.30333576</v>
      </c>
      <c r="U66" s="37" t="n">
        <f aca="false">Q66-SUM(R66:T66)</f>
        <v>0.367794609</v>
      </c>
      <c r="V66" s="28" t="n">
        <f aca="false">IFERROR(U66/Q66,0)</f>
        <v>0.161666666666667</v>
      </c>
      <c r="W66" s="25" t="str">
        <f aca="false">Assumptions!F118</f>
        <v>Illustrative (replace with pilot)</v>
      </c>
      <c r="X66" s="25" t="str">
        <f aca="false">Assumptions!C32&amp;" | "&amp;Assumptions!D32</f>
        <v>Tamarind-Date Chutney | 20g sachet</v>
      </c>
    </row>
    <row r="67" customFormat="false" ht="15" hidden="false" customHeight="false" outlineLevel="0" collapsed="false">
      <c r="A67" s="25" t="str">
        <f aca="false">Assumptions!A119</f>
        <v>FY23</v>
      </c>
      <c r="B67" s="25" t="str">
        <f aca="false">Assumptions!B119</f>
        <v>CHU_T</v>
      </c>
      <c r="C67" s="25" t="str">
        <f aca="false">Assumptions!B32</f>
        <v>Condiments</v>
      </c>
      <c r="D67" s="25" t="str">
        <f aca="false">Assumptions!C119</f>
        <v>Modern</v>
      </c>
      <c r="E67" s="20" t="n">
        <f aca="false">Assumptions!E32*(1+Assumptions!$C$11)^1</f>
        <v>10</v>
      </c>
      <c r="F67" s="20" t="n">
        <f aca="false">Assumptions!F32*(1+Assumptions!$C$12)^1</f>
        <v>4.8</v>
      </c>
      <c r="G67" s="25" t="n">
        <f aca="false">Assumptions!G32</f>
        <v>52</v>
      </c>
      <c r="H67" s="33" t="n">
        <f aca="false">Assumptions!D119</f>
        <v>843</v>
      </c>
      <c r="I67" s="34" t="n">
        <f aca="false">Assumptions!E119</f>
        <v>10.21</v>
      </c>
      <c r="J67" s="35" t="n">
        <f aca="false">Assumptions!$C$13</f>
        <v>0.95</v>
      </c>
      <c r="K67" s="35" t="n">
        <f aca="false">Assumptions!B41</f>
        <v>0.28</v>
      </c>
      <c r="L67" s="35" t="n">
        <f aca="false">Assumptions!C41+IF(Assumptions!$C$6="Downside",Assumptions!$C$9,0)</f>
        <v>0.14</v>
      </c>
      <c r="M67" s="25" t="n">
        <f aca="false">Assumptions!E41</f>
        <v>1.7</v>
      </c>
      <c r="N67" s="36" t="n">
        <f aca="false">H67*I67*G67*IF(Assumptions!$C$6="Downside",1-Assumptions!$C$7,1)</f>
        <v>447565.56</v>
      </c>
      <c r="O67" s="36" t="n">
        <f aca="false">N67*J67</f>
        <v>425187.282</v>
      </c>
      <c r="P67" s="37" t="n">
        <f aca="false">E67*(1-K67)</f>
        <v>7.2</v>
      </c>
      <c r="Q67" s="37" t="n">
        <f aca="false">O67*P67/10000000</f>
        <v>0.30613484304</v>
      </c>
      <c r="R67" s="37" t="n">
        <f aca="false">O67*F67/10000000+IF(Assumptions!$C$6="Downside",Q67*Assumptions!$C$8,0)</f>
        <v>0.20408989536</v>
      </c>
      <c r="S67" s="37" t="n">
        <f aca="false">Q67*L67</f>
        <v>0.0428588780256</v>
      </c>
      <c r="T67" s="37" t="n">
        <f aca="false">O67*M67/10000000</f>
        <v>0.07228183794</v>
      </c>
      <c r="U67" s="37" t="n">
        <f aca="false">Q67-SUM(R67:T67)</f>
        <v>-0.0130957682856</v>
      </c>
      <c r="V67" s="28" t="n">
        <f aca="false">IFERROR(U67/Q67,0)</f>
        <v>-0.0427777777777778</v>
      </c>
      <c r="W67" s="25" t="str">
        <f aca="false">Assumptions!F119</f>
        <v>Illustrative (replace with pilot)</v>
      </c>
      <c r="X67" s="25" t="str">
        <f aca="false">Assumptions!C32&amp;" | "&amp;Assumptions!D32</f>
        <v>Tamarind-Date Chutney | 20g sachet</v>
      </c>
    </row>
    <row r="68" customFormat="false" ht="15" hidden="false" customHeight="false" outlineLevel="0" collapsed="false">
      <c r="A68" s="25" t="str">
        <f aca="false">Assumptions!A120</f>
        <v>FY23</v>
      </c>
      <c r="B68" s="25" t="str">
        <f aca="false">Assumptions!B120</f>
        <v>CHU_T</v>
      </c>
      <c r="C68" s="25" t="str">
        <f aca="false">Assumptions!B32</f>
        <v>Condiments</v>
      </c>
      <c r="D68" s="25" t="str">
        <f aca="false">Assumptions!C120</f>
        <v>QCom</v>
      </c>
      <c r="E68" s="20" t="n">
        <f aca="false">Assumptions!E32*(1+Assumptions!$C$11)^1</f>
        <v>10</v>
      </c>
      <c r="F68" s="20" t="n">
        <f aca="false">Assumptions!F32*(1+Assumptions!$C$12)^1</f>
        <v>4.8</v>
      </c>
      <c r="G68" s="25" t="n">
        <f aca="false">Assumptions!G32</f>
        <v>52</v>
      </c>
      <c r="H68" s="33" t="n">
        <f aca="false">Assumptions!D120</f>
        <v>337</v>
      </c>
      <c r="I68" s="34" t="n">
        <f aca="false">Assumptions!E120</f>
        <v>30.62</v>
      </c>
      <c r="J68" s="35" t="n">
        <f aca="false">Assumptions!$C$13</f>
        <v>0.95</v>
      </c>
      <c r="K68" s="35" t="n">
        <f aca="false">Assumptions!B42</f>
        <v>0.38</v>
      </c>
      <c r="L68" s="35" t="n">
        <f aca="false">Assumptions!C42+IF(Assumptions!$C$6="Downside",Assumptions!$C$9,0)</f>
        <v>0.24</v>
      </c>
      <c r="M68" s="25" t="n">
        <f aca="false">Assumptions!E42</f>
        <v>2</v>
      </c>
      <c r="N68" s="36" t="n">
        <f aca="false">H68*I68*G68*IF(Assumptions!$C$6="Downside",1-Assumptions!$C$7,1)</f>
        <v>536584.88</v>
      </c>
      <c r="O68" s="36" t="n">
        <f aca="false">N68*J68</f>
        <v>509755.636</v>
      </c>
      <c r="P68" s="37" t="n">
        <f aca="false">E68*(1-K68)</f>
        <v>6.2</v>
      </c>
      <c r="Q68" s="37" t="n">
        <f aca="false">O68*P68/10000000</f>
        <v>0.31604849432</v>
      </c>
      <c r="R68" s="37" t="n">
        <f aca="false">O68*F68/10000000+IF(Assumptions!$C$6="Downside",Q68*Assumptions!$C$8,0)</f>
        <v>0.24468270528</v>
      </c>
      <c r="S68" s="37" t="n">
        <f aca="false">Q68*L68</f>
        <v>0.0758516386368</v>
      </c>
      <c r="T68" s="37" t="n">
        <f aca="false">O68*M68/10000000</f>
        <v>0.1019511272</v>
      </c>
      <c r="U68" s="37" t="n">
        <f aca="false">Q68-SUM(R68:T68)</f>
        <v>-0.1064369767968</v>
      </c>
      <c r="V68" s="28" t="n">
        <f aca="false">IFERROR(U68/Q68,0)</f>
        <v>-0.336774193548387</v>
      </c>
      <c r="W68" s="25" t="str">
        <f aca="false">Assumptions!F120</f>
        <v>Illustrative (replace with pilot)</v>
      </c>
      <c r="X68" s="25" t="str">
        <f aca="false">Assumptions!C32&amp;" | "&amp;Assumptions!D32</f>
        <v>Tamarind-Date Chutney | 20g sachet</v>
      </c>
    </row>
    <row r="69" customFormat="false" ht="15" hidden="false" customHeight="false" outlineLevel="0" collapsed="false">
      <c r="A69" s="25" t="str">
        <f aca="false">Assumptions!A121</f>
        <v>FY23</v>
      </c>
      <c r="B69" s="25" t="str">
        <f aca="false">Assumptions!B121</f>
        <v>CHU_L</v>
      </c>
      <c r="C69" s="25" t="str">
        <f aca="false">Assumptions!B33</f>
        <v>Condiments</v>
      </c>
      <c r="D69" s="25" t="str">
        <f aca="false">Assumptions!C121</f>
        <v>GT</v>
      </c>
      <c r="E69" s="20" t="n">
        <f aca="false">Assumptions!E33*(1+Assumptions!$C$11)^1</f>
        <v>99</v>
      </c>
      <c r="F69" s="20" t="n">
        <f aca="false">Assumptions!F33*(1+Assumptions!$C$12)^1</f>
        <v>47</v>
      </c>
      <c r="G69" s="25" t="n">
        <f aca="false">Assumptions!G33</f>
        <v>52</v>
      </c>
      <c r="H69" s="33" t="n">
        <f aca="false">Assumptions!D121</f>
        <v>18480</v>
      </c>
      <c r="I69" s="34" t="n">
        <f aca="false">Assumptions!E121</f>
        <v>1.94</v>
      </c>
      <c r="J69" s="35" t="n">
        <f aca="false">Assumptions!$C$13</f>
        <v>0.95</v>
      </c>
      <c r="K69" s="35" t="n">
        <f aca="false">Assumptions!B40</f>
        <v>0.25</v>
      </c>
      <c r="L69" s="35" t="n">
        <f aca="false">Assumptions!C40+IF(Assumptions!$C$6="Downside",Assumptions!$C$9,0)</f>
        <v>0.065</v>
      </c>
      <c r="M69" s="25" t="n">
        <f aca="false">Assumptions!E40</f>
        <v>1</v>
      </c>
      <c r="N69" s="36" t="n">
        <f aca="false">H69*I69*G69*IF(Assumptions!$C$6="Downside",1-Assumptions!$C$7,1)</f>
        <v>1864262.4</v>
      </c>
      <c r="O69" s="36" t="n">
        <f aca="false">N69*J69</f>
        <v>1771049.28</v>
      </c>
      <c r="P69" s="37" t="n">
        <f aca="false">E69*(1-K69)</f>
        <v>74.25</v>
      </c>
      <c r="Q69" s="37" t="n">
        <f aca="false">O69*P69/10000000</f>
        <v>13.150040904</v>
      </c>
      <c r="R69" s="37" t="n">
        <f aca="false">O69*F69/10000000+IF(Assumptions!$C$6="Downside",Q69*Assumptions!$C$8,0)</f>
        <v>8.323931616</v>
      </c>
      <c r="S69" s="37" t="n">
        <f aca="false">Q69*L69</f>
        <v>0.85475265876</v>
      </c>
      <c r="T69" s="37" t="n">
        <f aca="false">O69*M69/10000000</f>
        <v>0.177104928</v>
      </c>
      <c r="U69" s="37" t="n">
        <f aca="false">Q69-SUM(R69:T69)</f>
        <v>3.79425170124</v>
      </c>
      <c r="V69" s="28" t="n">
        <f aca="false">IFERROR(U69/Q69,0)</f>
        <v>0.288535353535353</v>
      </c>
      <c r="W69" s="25" t="str">
        <f aca="false">Assumptions!F121</f>
        <v>Illustrative (replace with pilot)</v>
      </c>
      <c r="X69" s="25" t="str">
        <f aca="false">Assumptions!C33&amp;" | "&amp;Assumptions!D33</f>
        <v>Tamarind-Date Chutney | 200g pack</v>
      </c>
    </row>
    <row r="70" customFormat="false" ht="15" hidden="false" customHeight="false" outlineLevel="0" collapsed="false">
      <c r="A70" s="25" t="str">
        <f aca="false">Assumptions!A122</f>
        <v>FY23</v>
      </c>
      <c r="B70" s="25" t="str">
        <f aca="false">Assumptions!B122</f>
        <v>CHU_L</v>
      </c>
      <c r="C70" s="25" t="str">
        <f aca="false">Assumptions!B33</f>
        <v>Condiments</v>
      </c>
      <c r="D70" s="25" t="str">
        <f aca="false">Assumptions!C122</f>
        <v>Modern</v>
      </c>
      <c r="E70" s="20" t="n">
        <f aca="false">Assumptions!E33*(1+Assumptions!$C$11)^1</f>
        <v>99</v>
      </c>
      <c r="F70" s="20" t="n">
        <f aca="false">Assumptions!F33*(1+Assumptions!$C$12)^1</f>
        <v>47</v>
      </c>
      <c r="G70" s="25" t="n">
        <f aca="false">Assumptions!G33</f>
        <v>52</v>
      </c>
      <c r="H70" s="33" t="n">
        <f aca="false">Assumptions!D122</f>
        <v>647</v>
      </c>
      <c r="I70" s="34" t="n">
        <f aca="false">Assumptions!E122</f>
        <v>7.74</v>
      </c>
      <c r="J70" s="35" t="n">
        <f aca="false">Assumptions!$C$13</f>
        <v>0.95</v>
      </c>
      <c r="K70" s="35" t="n">
        <f aca="false">Assumptions!B41</f>
        <v>0.28</v>
      </c>
      <c r="L70" s="35" t="n">
        <f aca="false">Assumptions!C41+IF(Assumptions!$C$6="Downside",Assumptions!$C$9,0)</f>
        <v>0.14</v>
      </c>
      <c r="M70" s="25" t="n">
        <f aca="false">Assumptions!E41</f>
        <v>1.7</v>
      </c>
      <c r="N70" s="36" t="n">
        <f aca="false">H70*I70*G70*IF(Assumptions!$C$6="Downside",1-Assumptions!$C$7,1)</f>
        <v>260404.56</v>
      </c>
      <c r="O70" s="36" t="n">
        <f aca="false">N70*J70</f>
        <v>247384.332</v>
      </c>
      <c r="P70" s="37" t="n">
        <f aca="false">E70*(1-K70)</f>
        <v>71.28</v>
      </c>
      <c r="Q70" s="37" t="n">
        <f aca="false">O70*P70/10000000</f>
        <v>1.763355518496</v>
      </c>
      <c r="R70" s="37" t="n">
        <f aca="false">O70*F70/10000000+IF(Assumptions!$C$6="Downside",Q70*Assumptions!$C$8,0)</f>
        <v>1.1627063604</v>
      </c>
      <c r="S70" s="37" t="n">
        <f aca="false">Q70*L70</f>
        <v>0.24686977258944</v>
      </c>
      <c r="T70" s="37" t="n">
        <f aca="false">O70*M70/10000000</f>
        <v>0.04205533644</v>
      </c>
      <c r="U70" s="37" t="n">
        <f aca="false">Q70-SUM(R70:T70)</f>
        <v>0.31172404906656</v>
      </c>
      <c r="V70" s="28" t="n">
        <f aca="false">IFERROR(U70/Q70,0)</f>
        <v>0.176778900112233</v>
      </c>
      <c r="W70" s="25" t="str">
        <f aca="false">Assumptions!F122</f>
        <v>Illustrative (replace with pilot)</v>
      </c>
      <c r="X70" s="25" t="str">
        <f aca="false">Assumptions!C33&amp;" | "&amp;Assumptions!D33</f>
        <v>Tamarind-Date Chutney | 200g pack</v>
      </c>
    </row>
    <row r="71" customFormat="false" ht="15" hidden="false" customHeight="false" outlineLevel="0" collapsed="false">
      <c r="A71" s="25" t="str">
        <f aca="false">Assumptions!A123</f>
        <v>FY23</v>
      </c>
      <c r="B71" s="25" t="str">
        <f aca="false">Assumptions!B123</f>
        <v>CHU_L</v>
      </c>
      <c r="C71" s="25" t="str">
        <f aca="false">Assumptions!B33</f>
        <v>Condiments</v>
      </c>
      <c r="D71" s="25" t="str">
        <f aca="false">Assumptions!C123</f>
        <v>QCom</v>
      </c>
      <c r="E71" s="20" t="n">
        <f aca="false">Assumptions!E33*(1+Assumptions!$C$11)^1</f>
        <v>99</v>
      </c>
      <c r="F71" s="20" t="n">
        <f aca="false">Assumptions!F33*(1+Assumptions!$C$12)^1</f>
        <v>47</v>
      </c>
      <c r="G71" s="25" t="n">
        <f aca="false">Assumptions!G33</f>
        <v>52</v>
      </c>
      <c r="H71" s="33" t="n">
        <f aca="false">Assumptions!D123</f>
        <v>259</v>
      </c>
      <c r="I71" s="34" t="n">
        <f aca="false">Assumptions!E123</f>
        <v>23.23</v>
      </c>
      <c r="J71" s="35" t="n">
        <f aca="false">Assumptions!$C$13</f>
        <v>0.95</v>
      </c>
      <c r="K71" s="35" t="n">
        <f aca="false">Assumptions!B42</f>
        <v>0.38</v>
      </c>
      <c r="L71" s="35" t="n">
        <f aca="false">Assumptions!C42+IF(Assumptions!$C$6="Downside",Assumptions!$C$9,0)</f>
        <v>0.24</v>
      </c>
      <c r="M71" s="25" t="n">
        <f aca="false">Assumptions!E42</f>
        <v>2</v>
      </c>
      <c r="N71" s="36" t="n">
        <f aca="false">H71*I71*G71*IF(Assumptions!$C$6="Downside",1-Assumptions!$C$7,1)</f>
        <v>312861.64</v>
      </c>
      <c r="O71" s="36" t="n">
        <f aca="false">N71*J71</f>
        <v>297218.558</v>
      </c>
      <c r="P71" s="37" t="n">
        <f aca="false">E71*(1-K71)</f>
        <v>61.38</v>
      </c>
      <c r="Q71" s="37" t="n">
        <f aca="false">O71*P71/10000000</f>
        <v>1.824327509004</v>
      </c>
      <c r="R71" s="37" t="n">
        <f aca="false">O71*F71/10000000+IF(Assumptions!$C$6="Downside",Q71*Assumptions!$C$8,0)</f>
        <v>1.3969272226</v>
      </c>
      <c r="S71" s="37" t="n">
        <f aca="false">Q71*L71</f>
        <v>0.43783860216096</v>
      </c>
      <c r="T71" s="37" t="n">
        <f aca="false">O71*M71/10000000</f>
        <v>0.0594437116</v>
      </c>
      <c r="U71" s="37" t="n">
        <f aca="false">Q71-SUM(R71:T71)</f>
        <v>-0.06988202735696</v>
      </c>
      <c r="V71" s="28" t="n">
        <f aca="false">IFERROR(U71/Q71,0)</f>
        <v>-0.0383056370153145</v>
      </c>
      <c r="W71" s="25" t="str">
        <f aca="false">Assumptions!F123</f>
        <v>Illustrative (replace with pilot)</v>
      </c>
      <c r="X71" s="25" t="str">
        <f aca="false">Assumptions!C33&amp;" | "&amp;Assumptions!D33</f>
        <v>Tamarind-Date Chutney | 200g pack</v>
      </c>
    </row>
    <row r="72" customFormat="false" ht="15" hidden="false" customHeight="false" outlineLevel="0" collapsed="false">
      <c r="A72" s="25" t="str">
        <f aca="false">Assumptions!A124</f>
        <v>FY23</v>
      </c>
      <c r="B72" s="25" t="str">
        <f aca="false">Assumptions!B124</f>
        <v>PIC_T</v>
      </c>
      <c r="C72" s="25" t="str">
        <f aca="false">Assumptions!B34</f>
        <v>Condiments</v>
      </c>
      <c r="D72" s="25" t="str">
        <f aca="false">Assumptions!C124</f>
        <v>GT</v>
      </c>
      <c r="E72" s="20" t="n">
        <f aca="false">Assumptions!E34*(1+Assumptions!$C$11)^1</f>
        <v>10</v>
      </c>
      <c r="F72" s="20" t="n">
        <f aca="false">Assumptions!F34*(1+Assumptions!$C$12)^1</f>
        <v>4.7</v>
      </c>
      <c r="G72" s="25" t="n">
        <f aca="false">Assumptions!G34</f>
        <v>52</v>
      </c>
      <c r="H72" s="33" t="n">
        <f aca="false">Assumptions!D124</f>
        <v>23520</v>
      </c>
      <c r="I72" s="34" t="n">
        <f aca="false">Assumptions!E124</f>
        <v>2.38</v>
      </c>
      <c r="J72" s="35" t="n">
        <f aca="false">Assumptions!$C$13</f>
        <v>0.95</v>
      </c>
      <c r="K72" s="35" t="n">
        <f aca="false">Assumptions!B40</f>
        <v>0.25</v>
      </c>
      <c r="L72" s="35" t="n">
        <f aca="false">Assumptions!C40+IF(Assumptions!$C$6="Downside",Assumptions!$C$9,0)</f>
        <v>0.065</v>
      </c>
      <c r="M72" s="25" t="n">
        <f aca="false">Assumptions!E40</f>
        <v>1</v>
      </c>
      <c r="N72" s="36" t="n">
        <f aca="false">H72*I72*G72*IF(Assumptions!$C$6="Downside",1-Assumptions!$C$7,1)</f>
        <v>2910835.2</v>
      </c>
      <c r="O72" s="36" t="n">
        <f aca="false">N72*J72</f>
        <v>2765293.44</v>
      </c>
      <c r="P72" s="37" t="n">
        <f aca="false">E72*(1-K72)</f>
        <v>7.5</v>
      </c>
      <c r="Q72" s="37" t="n">
        <f aca="false">O72*P72/10000000</f>
        <v>2.07397008</v>
      </c>
      <c r="R72" s="37" t="n">
        <f aca="false">O72*F72/10000000+IF(Assumptions!$C$6="Downside",Q72*Assumptions!$C$8,0)</f>
        <v>1.2996879168</v>
      </c>
      <c r="S72" s="37" t="n">
        <f aca="false">Q72*L72</f>
        <v>0.1348080552</v>
      </c>
      <c r="T72" s="37" t="n">
        <f aca="false">O72*M72/10000000</f>
        <v>0.276529344</v>
      </c>
      <c r="U72" s="37" t="n">
        <f aca="false">Q72-SUM(R72:T72)</f>
        <v>0.362944764</v>
      </c>
      <c r="V72" s="28" t="n">
        <f aca="false">IFERROR(U72/Q72,0)</f>
        <v>0.175</v>
      </c>
      <c r="W72" s="25" t="str">
        <f aca="false">Assumptions!F124</f>
        <v>Illustrative (replace with pilot)</v>
      </c>
      <c r="X72" s="25" t="str">
        <f aca="false">Assumptions!C34&amp;" | "&amp;Assumptions!D34</f>
        <v>Lime Pickle | 20g sachet</v>
      </c>
    </row>
    <row r="73" customFormat="false" ht="15" hidden="false" customHeight="false" outlineLevel="0" collapsed="false">
      <c r="A73" s="25" t="str">
        <f aca="false">Assumptions!A125</f>
        <v>FY23</v>
      </c>
      <c r="B73" s="25" t="str">
        <f aca="false">Assumptions!B125</f>
        <v>PIC_T</v>
      </c>
      <c r="C73" s="25" t="str">
        <f aca="false">Assumptions!B34</f>
        <v>Condiments</v>
      </c>
      <c r="D73" s="25" t="str">
        <f aca="false">Assumptions!C125</f>
        <v>Modern</v>
      </c>
      <c r="E73" s="20" t="n">
        <f aca="false">Assumptions!E34*(1+Assumptions!$C$11)^1</f>
        <v>10</v>
      </c>
      <c r="F73" s="20" t="n">
        <f aca="false">Assumptions!F34*(1+Assumptions!$C$12)^1</f>
        <v>4.7</v>
      </c>
      <c r="G73" s="25" t="n">
        <f aca="false">Assumptions!G34</f>
        <v>52</v>
      </c>
      <c r="H73" s="33" t="n">
        <f aca="false">Assumptions!D125</f>
        <v>823</v>
      </c>
      <c r="I73" s="34" t="n">
        <f aca="false">Assumptions!E125</f>
        <v>9.5</v>
      </c>
      <c r="J73" s="35" t="n">
        <f aca="false">Assumptions!$C$13</f>
        <v>0.95</v>
      </c>
      <c r="K73" s="35" t="n">
        <f aca="false">Assumptions!B41</f>
        <v>0.28</v>
      </c>
      <c r="L73" s="35" t="n">
        <f aca="false">Assumptions!C41+IF(Assumptions!$C$6="Downside",Assumptions!$C$9,0)</f>
        <v>0.14</v>
      </c>
      <c r="M73" s="25" t="n">
        <f aca="false">Assumptions!E41</f>
        <v>1.7</v>
      </c>
      <c r="N73" s="36" t="n">
        <f aca="false">H73*I73*G73*IF(Assumptions!$C$6="Downside",1-Assumptions!$C$7,1)</f>
        <v>406562</v>
      </c>
      <c r="O73" s="36" t="n">
        <f aca="false">N73*J73</f>
        <v>386233.9</v>
      </c>
      <c r="P73" s="37" t="n">
        <f aca="false">E73*(1-K73)</f>
        <v>7.2</v>
      </c>
      <c r="Q73" s="37" t="n">
        <f aca="false">O73*P73/10000000</f>
        <v>0.278088408</v>
      </c>
      <c r="R73" s="37" t="n">
        <f aca="false">O73*F73/10000000+IF(Assumptions!$C$6="Downside",Q73*Assumptions!$C$8,0)</f>
        <v>0.181529933</v>
      </c>
      <c r="S73" s="37" t="n">
        <f aca="false">Q73*L73</f>
        <v>0.03893237712</v>
      </c>
      <c r="T73" s="37" t="n">
        <f aca="false">O73*M73/10000000</f>
        <v>0.065659763</v>
      </c>
      <c r="U73" s="37" t="n">
        <f aca="false">Q73-SUM(R73:T73)</f>
        <v>-0.00803366511999998</v>
      </c>
      <c r="V73" s="28" t="n">
        <f aca="false">IFERROR(U73/Q73,0)</f>
        <v>-0.0288888888888888</v>
      </c>
      <c r="W73" s="25" t="str">
        <f aca="false">Assumptions!F125</f>
        <v>Illustrative (replace with pilot)</v>
      </c>
      <c r="X73" s="25" t="str">
        <f aca="false">Assumptions!C34&amp;" | "&amp;Assumptions!D34</f>
        <v>Lime Pickle | 20g sachet</v>
      </c>
    </row>
    <row r="74" customFormat="false" ht="15" hidden="false" customHeight="false" outlineLevel="0" collapsed="false">
      <c r="A74" s="25" t="str">
        <f aca="false">Assumptions!A126</f>
        <v>FY23</v>
      </c>
      <c r="B74" s="25" t="str">
        <f aca="false">Assumptions!B126</f>
        <v>PIC_T</v>
      </c>
      <c r="C74" s="25" t="str">
        <f aca="false">Assumptions!B34</f>
        <v>Condiments</v>
      </c>
      <c r="D74" s="25" t="str">
        <f aca="false">Assumptions!C126</f>
        <v>QCom</v>
      </c>
      <c r="E74" s="20" t="n">
        <f aca="false">Assumptions!E34*(1+Assumptions!$C$11)^1</f>
        <v>10</v>
      </c>
      <c r="F74" s="20" t="n">
        <f aca="false">Assumptions!F34*(1+Assumptions!$C$12)^1</f>
        <v>4.7</v>
      </c>
      <c r="G74" s="25" t="n">
        <f aca="false">Assumptions!G34</f>
        <v>52</v>
      </c>
      <c r="H74" s="33" t="n">
        <f aca="false">Assumptions!D126</f>
        <v>329</v>
      </c>
      <c r="I74" s="34" t="n">
        <f aca="false">Assumptions!E126</f>
        <v>28.51</v>
      </c>
      <c r="J74" s="35" t="n">
        <f aca="false">Assumptions!$C$13</f>
        <v>0.95</v>
      </c>
      <c r="K74" s="35" t="n">
        <f aca="false">Assumptions!B42</f>
        <v>0.38</v>
      </c>
      <c r="L74" s="35" t="n">
        <f aca="false">Assumptions!C42+IF(Assumptions!$C$6="Downside",Assumptions!$C$9,0)</f>
        <v>0.24</v>
      </c>
      <c r="M74" s="25" t="n">
        <f aca="false">Assumptions!E42</f>
        <v>2</v>
      </c>
      <c r="N74" s="36" t="n">
        <f aca="false">H74*I74*G74*IF(Assumptions!$C$6="Downside",1-Assumptions!$C$7,1)</f>
        <v>487749.08</v>
      </c>
      <c r="O74" s="36" t="n">
        <f aca="false">N74*J74</f>
        <v>463361.626</v>
      </c>
      <c r="P74" s="37" t="n">
        <f aca="false">E74*(1-K74)</f>
        <v>6.2</v>
      </c>
      <c r="Q74" s="37" t="n">
        <f aca="false">O74*P74/10000000</f>
        <v>0.28728420812</v>
      </c>
      <c r="R74" s="37" t="n">
        <f aca="false">O74*F74/10000000+IF(Assumptions!$C$6="Downside",Q74*Assumptions!$C$8,0)</f>
        <v>0.21777996422</v>
      </c>
      <c r="S74" s="37" t="n">
        <f aca="false">Q74*L74</f>
        <v>0.0689482099488</v>
      </c>
      <c r="T74" s="37" t="n">
        <f aca="false">O74*M74/10000000</f>
        <v>0.0926723252</v>
      </c>
      <c r="U74" s="37" t="n">
        <f aca="false">Q74-SUM(R74:T74)</f>
        <v>-0.0921162912488</v>
      </c>
      <c r="V74" s="28" t="n">
        <f aca="false">IFERROR(U74/Q74,0)</f>
        <v>-0.320645161290323</v>
      </c>
      <c r="W74" s="25" t="str">
        <f aca="false">Assumptions!F126</f>
        <v>Illustrative (replace with pilot)</v>
      </c>
      <c r="X74" s="25" t="str">
        <f aca="false">Assumptions!C34&amp;" | "&amp;Assumptions!D34</f>
        <v>Lime Pickle | 20g sachet</v>
      </c>
    </row>
    <row r="75" customFormat="false" ht="15" hidden="false" customHeight="false" outlineLevel="0" collapsed="false">
      <c r="A75" s="25" t="str">
        <f aca="false">Assumptions!A127</f>
        <v>FY23</v>
      </c>
      <c r="B75" s="25" t="str">
        <f aca="false">Assumptions!B127</f>
        <v>PIC_L</v>
      </c>
      <c r="C75" s="25" t="str">
        <f aca="false">Assumptions!B35</f>
        <v>Condiments</v>
      </c>
      <c r="D75" s="25" t="str">
        <f aca="false">Assumptions!C127</f>
        <v>GT</v>
      </c>
      <c r="E75" s="20" t="n">
        <f aca="false">Assumptions!E35*(1+Assumptions!$C$11)^1</f>
        <v>99</v>
      </c>
      <c r="F75" s="20" t="n">
        <f aca="false">Assumptions!F35*(1+Assumptions!$C$12)^1</f>
        <v>46.5</v>
      </c>
      <c r="G75" s="25" t="n">
        <f aca="false">Assumptions!G35</f>
        <v>52</v>
      </c>
      <c r="H75" s="33" t="n">
        <f aca="false">Assumptions!D127</f>
        <v>20720</v>
      </c>
      <c r="I75" s="34" t="n">
        <f aca="false">Assumptions!E127</f>
        <v>1.94</v>
      </c>
      <c r="J75" s="35" t="n">
        <f aca="false">Assumptions!$C$13</f>
        <v>0.95</v>
      </c>
      <c r="K75" s="35" t="n">
        <f aca="false">Assumptions!B40</f>
        <v>0.25</v>
      </c>
      <c r="L75" s="35" t="n">
        <f aca="false">Assumptions!C40+IF(Assumptions!$C$6="Downside",Assumptions!$C$9,0)</f>
        <v>0.065</v>
      </c>
      <c r="M75" s="25" t="n">
        <f aca="false">Assumptions!E40</f>
        <v>1</v>
      </c>
      <c r="N75" s="36" t="n">
        <f aca="false">H75*I75*G75*IF(Assumptions!$C$6="Downside",1-Assumptions!$C$7,1)</f>
        <v>2090233.6</v>
      </c>
      <c r="O75" s="36" t="n">
        <f aca="false">N75*J75</f>
        <v>1985721.92</v>
      </c>
      <c r="P75" s="37" t="n">
        <f aca="false">E75*(1-K75)</f>
        <v>74.25</v>
      </c>
      <c r="Q75" s="37" t="n">
        <f aca="false">O75*P75/10000000</f>
        <v>14.743985256</v>
      </c>
      <c r="R75" s="37" t="n">
        <f aca="false">O75*F75/10000000+IF(Assumptions!$C$6="Downside",Q75*Assumptions!$C$8,0)</f>
        <v>9.233606928</v>
      </c>
      <c r="S75" s="37" t="n">
        <f aca="false">Q75*L75</f>
        <v>0.95835904164</v>
      </c>
      <c r="T75" s="37" t="n">
        <f aca="false">O75*M75/10000000</f>
        <v>0.198572192</v>
      </c>
      <c r="U75" s="37" t="n">
        <f aca="false">Q75-SUM(R75:T75)</f>
        <v>4.35344709436</v>
      </c>
      <c r="V75" s="28" t="n">
        <f aca="false">IFERROR(U75/Q75,0)</f>
        <v>0.29526936026936</v>
      </c>
      <c r="W75" s="25" t="str">
        <f aca="false">Assumptions!F127</f>
        <v>Illustrative (replace with pilot)</v>
      </c>
      <c r="X75" s="25" t="str">
        <f aca="false">Assumptions!C35&amp;" | "&amp;Assumptions!D35</f>
        <v>Lime Pickle | 200g pack</v>
      </c>
    </row>
    <row r="76" customFormat="false" ht="15" hidden="false" customHeight="false" outlineLevel="0" collapsed="false">
      <c r="A76" s="25" t="str">
        <f aca="false">Assumptions!A128</f>
        <v>FY23</v>
      </c>
      <c r="B76" s="25" t="str">
        <f aca="false">Assumptions!B128</f>
        <v>PIC_L</v>
      </c>
      <c r="C76" s="25" t="str">
        <f aca="false">Assumptions!B35</f>
        <v>Condiments</v>
      </c>
      <c r="D76" s="25" t="str">
        <f aca="false">Assumptions!C128</f>
        <v>Modern</v>
      </c>
      <c r="E76" s="20" t="n">
        <f aca="false">Assumptions!E35*(1+Assumptions!$C$11)^1</f>
        <v>99</v>
      </c>
      <c r="F76" s="20" t="n">
        <f aca="false">Assumptions!F35*(1+Assumptions!$C$12)^1</f>
        <v>46.5</v>
      </c>
      <c r="G76" s="25" t="n">
        <f aca="false">Assumptions!G35</f>
        <v>52</v>
      </c>
      <c r="H76" s="33" t="n">
        <f aca="false">Assumptions!D128</f>
        <v>725</v>
      </c>
      <c r="I76" s="34" t="n">
        <f aca="false">Assumptions!E128</f>
        <v>7.74</v>
      </c>
      <c r="J76" s="35" t="n">
        <f aca="false">Assumptions!$C$13</f>
        <v>0.95</v>
      </c>
      <c r="K76" s="35" t="n">
        <f aca="false">Assumptions!B41</f>
        <v>0.28</v>
      </c>
      <c r="L76" s="35" t="n">
        <f aca="false">Assumptions!C41+IF(Assumptions!$C$6="Downside",Assumptions!$C$9,0)</f>
        <v>0.14</v>
      </c>
      <c r="M76" s="25" t="n">
        <f aca="false">Assumptions!E41</f>
        <v>1.7</v>
      </c>
      <c r="N76" s="36" t="n">
        <f aca="false">H76*I76*G76*IF(Assumptions!$C$6="Downside",1-Assumptions!$C$7,1)</f>
        <v>291798</v>
      </c>
      <c r="O76" s="36" t="n">
        <f aca="false">N76*J76</f>
        <v>277208.1</v>
      </c>
      <c r="P76" s="37" t="n">
        <f aca="false">E76*(1-K76)</f>
        <v>71.28</v>
      </c>
      <c r="Q76" s="37" t="n">
        <f aca="false">O76*P76/10000000</f>
        <v>1.9759393368</v>
      </c>
      <c r="R76" s="37" t="n">
        <f aca="false">O76*F76/10000000+IF(Assumptions!$C$6="Downside",Q76*Assumptions!$C$8,0)</f>
        <v>1.289017665</v>
      </c>
      <c r="S76" s="37" t="n">
        <f aca="false">Q76*L76</f>
        <v>0.276631507152</v>
      </c>
      <c r="T76" s="37" t="n">
        <f aca="false">O76*M76/10000000</f>
        <v>0.047125377</v>
      </c>
      <c r="U76" s="37" t="n">
        <f aca="false">Q76-SUM(R76:T76)</f>
        <v>0.363164787648</v>
      </c>
      <c r="V76" s="28" t="n">
        <f aca="false">IFERROR(U76/Q76,0)</f>
        <v>0.183793490460157</v>
      </c>
      <c r="W76" s="25" t="str">
        <f aca="false">Assumptions!F128</f>
        <v>Illustrative (replace with pilot)</v>
      </c>
      <c r="X76" s="25" t="str">
        <f aca="false">Assumptions!C35&amp;" | "&amp;Assumptions!D35</f>
        <v>Lime Pickle | 200g pack</v>
      </c>
    </row>
    <row r="77" customFormat="false" ht="15" hidden="false" customHeight="false" outlineLevel="0" collapsed="false">
      <c r="A77" s="25" t="str">
        <f aca="false">Assumptions!A129</f>
        <v>FY23</v>
      </c>
      <c r="B77" s="25" t="str">
        <f aca="false">Assumptions!B129</f>
        <v>PIC_L</v>
      </c>
      <c r="C77" s="25" t="str">
        <f aca="false">Assumptions!B35</f>
        <v>Condiments</v>
      </c>
      <c r="D77" s="25" t="str">
        <f aca="false">Assumptions!C129</f>
        <v>QCom</v>
      </c>
      <c r="E77" s="20" t="n">
        <f aca="false">Assumptions!E35*(1+Assumptions!$C$11)^1</f>
        <v>99</v>
      </c>
      <c r="F77" s="20" t="n">
        <f aca="false">Assumptions!F35*(1+Assumptions!$C$12)^1</f>
        <v>46.5</v>
      </c>
      <c r="G77" s="25" t="n">
        <f aca="false">Assumptions!G35</f>
        <v>52</v>
      </c>
      <c r="H77" s="33" t="n">
        <f aca="false">Assumptions!D129</f>
        <v>290</v>
      </c>
      <c r="I77" s="34" t="n">
        <f aca="false">Assumptions!E129</f>
        <v>23.23</v>
      </c>
      <c r="J77" s="35" t="n">
        <f aca="false">Assumptions!$C$13</f>
        <v>0.95</v>
      </c>
      <c r="K77" s="35" t="n">
        <f aca="false">Assumptions!B42</f>
        <v>0.38</v>
      </c>
      <c r="L77" s="35" t="n">
        <f aca="false">Assumptions!C42+IF(Assumptions!$C$6="Downside",Assumptions!$C$9,0)</f>
        <v>0.24</v>
      </c>
      <c r="M77" s="25" t="n">
        <f aca="false">Assumptions!E42</f>
        <v>2</v>
      </c>
      <c r="N77" s="36" t="n">
        <f aca="false">H77*I77*G77*IF(Assumptions!$C$6="Downside",1-Assumptions!$C$7,1)</f>
        <v>350308.4</v>
      </c>
      <c r="O77" s="36" t="n">
        <f aca="false">N77*J77</f>
        <v>332792.98</v>
      </c>
      <c r="P77" s="37" t="n">
        <f aca="false">E77*(1-K77)</f>
        <v>61.38</v>
      </c>
      <c r="Q77" s="37" t="n">
        <f aca="false">O77*P77/10000000</f>
        <v>2.04268331124</v>
      </c>
      <c r="R77" s="37" t="n">
        <f aca="false">O77*F77/10000000+IF(Assumptions!$C$6="Downside",Q77*Assumptions!$C$8,0)</f>
        <v>1.547487357</v>
      </c>
      <c r="S77" s="37" t="n">
        <f aca="false">Q77*L77</f>
        <v>0.4902439946976</v>
      </c>
      <c r="T77" s="37" t="n">
        <f aca="false">O77*M77/10000000</f>
        <v>0.066558596</v>
      </c>
      <c r="U77" s="37" t="n">
        <f aca="false">Q77-SUM(R77:T77)</f>
        <v>-0.0616066364576002</v>
      </c>
      <c r="V77" s="28" t="n">
        <f aca="false">IFERROR(U77/Q77,0)</f>
        <v>-0.0301596611274032</v>
      </c>
      <c r="W77" s="25" t="str">
        <f aca="false">Assumptions!F129</f>
        <v>Illustrative (replace with pilot)</v>
      </c>
      <c r="X77" s="25" t="str">
        <f aca="false">Assumptions!C35&amp;" | "&amp;Assumptions!D35</f>
        <v>Lime Pickle | 200g pack</v>
      </c>
    </row>
    <row r="78" customFormat="false" ht="15" hidden="false" customHeight="false" outlineLevel="0" collapsed="false">
      <c r="A78" s="25" t="str">
        <f aca="false">Assumptions!A130</f>
        <v>FY24</v>
      </c>
      <c r="B78" s="25" t="str">
        <f aca="false">Assumptions!B130</f>
        <v>SAB_T</v>
      </c>
      <c r="C78" s="25" t="str">
        <f aca="false">Assumptions!B24</f>
        <v>Spices</v>
      </c>
      <c r="D78" s="25" t="str">
        <f aca="false">Assumptions!C130</f>
        <v>GT</v>
      </c>
      <c r="E78" s="20" t="n">
        <f aca="false">Assumptions!E24*(1+Assumptions!$C$11)^2</f>
        <v>10</v>
      </c>
      <c r="F78" s="20" t="n">
        <f aca="false">Assumptions!F24*(1+Assumptions!$C$12)^2</f>
        <v>5.25</v>
      </c>
      <c r="G78" s="25" t="n">
        <f aca="false">Assumptions!G24</f>
        <v>52</v>
      </c>
      <c r="H78" s="33" t="n">
        <f aca="false">Assumptions!D130</f>
        <v>65000</v>
      </c>
      <c r="I78" s="34" t="n">
        <f aca="false">Assumptions!E130</f>
        <v>4.3</v>
      </c>
      <c r="J78" s="35" t="n">
        <f aca="false">Assumptions!$C$13</f>
        <v>0.95</v>
      </c>
      <c r="K78" s="35" t="n">
        <f aca="false">Assumptions!B40</f>
        <v>0.25</v>
      </c>
      <c r="L78" s="35" t="n">
        <f aca="false">Assumptions!C40+IF(Assumptions!$C$6="Downside",Assumptions!$C$9,0)</f>
        <v>0.065</v>
      </c>
      <c r="M78" s="25" t="n">
        <f aca="false">Assumptions!E40</f>
        <v>1</v>
      </c>
      <c r="N78" s="36" t="n">
        <f aca="false">H78*I78*G78*IF(Assumptions!$C$6="Downside",1-Assumptions!$C$7,1)</f>
        <v>14534000</v>
      </c>
      <c r="O78" s="36" t="n">
        <f aca="false">N78*J78</f>
        <v>13807300</v>
      </c>
      <c r="P78" s="37" t="n">
        <f aca="false">E78*(1-K78)</f>
        <v>7.5</v>
      </c>
      <c r="Q78" s="37" t="n">
        <f aca="false">O78*P78/10000000</f>
        <v>10.355475</v>
      </c>
      <c r="R78" s="37" t="n">
        <f aca="false">O78*F78/10000000+IF(Assumptions!$C$6="Downside",Q78*Assumptions!$C$8,0)</f>
        <v>7.2488325</v>
      </c>
      <c r="S78" s="37" t="n">
        <f aca="false">Q78*L78</f>
        <v>0.673105875</v>
      </c>
      <c r="T78" s="37" t="n">
        <f aca="false">O78*M78/10000000</f>
        <v>1.38073</v>
      </c>
      <c r="U78" s="37" t="n">
        <f aca="false">Q78-SUM(R78:T78)</f>
        <v>1.052806625</v>
      </c>
      <c r="V78" s="28" t="n">
        <f aca="false">IFERROR(U78/Q78,0)</f>
        <v>0.101666666666667</v>
      </c>
      <c r="W78" s="25" t="str">
        <f aca="false">Assumptions!F130</f>
        <v>Illustrative (replace with pilot)</v>
      </c>
      <c r="X78" s="25" t="str">
        <f aca="false">Assumptions!C24&amp;" | "&amp;Assumptions!D24</f>
        <v>Everyday Sabzi Masala | 8g trial</v>
      </c>
    </row>
    <row r="79" customFormat="false" ht="15" hidden="false" customHeight="false" outlineLevel="0" collapsed="false">
      <c r="A79" s="25" t="str">
        <f aca="false">Assumptions!A131</f>
        <v>FY24</v>
      </c>
      <c r="B79" s="25" t="str">
        <f aca="false">Assumptions!B131</f>
        <v>SAB_T</v>
      </c>
      <c r="C79" s="25" t="str">
        <f aca="false">Assumptions!B24</f>
        <v>Spices</v>
      </c>
      <c r="D79" s="25" t="str">
        <f aca="false">Assumptions!C131</f>
        <v>Modern</v>
      </c>
      <c r="E79" s="20" t="n">
        <f aca="false">Assumptions!E24*(1+Assumptions!$C$11)^2</f>
        <v>10</v>
      </c>
      <c r="F79" s="20" t="n">
        <f aca="false">Assumptions!F24*(1+Assumptions!$C$12)^2</f>
        <v>5.25</v>
      </c>
      <c r="G79" s="25" t="n">
        <f aca="false">Assumptions!G24</f>
        <v>52</v>
      </c>
      <c r="H79" s="33" t="n">
        <f aca="false">Assumptions!D131</f>
        <v>2275</v>
      </c>
      <c r="I79" s="34" t="n">
        <f aca="false">Assumptions!E131</f>
        <v>17.2</v>
      </c>
      <c r="J79" s="35" t="n">
        <f aca="false">Assumptions!$C$13</f>
        <v>0.95</v>
      </c>
      <c r="K79" s="35" t="n">
        <f aca="false">Assumptions!B41</f>
        <v>0.28</v>
      </c>
      <c r="L79" s="35" t="n">
        <f aca="false">Assumptions!C41+IF(Assumptions!$C$6="Downside",Assumptions!$C$9,0)</f>
        <v>0.14</v>
      </c>
      <c r="M79" s="25" t="n">
        <f aca="false">Assumptions!E41</f>
        <v>1.7</v>
      </c>
      <c r="N79" s="36" t="n">
        <f aca="false">H79*I79*G79*IF(Assumptions!$C$6="Downside",1-Assumptions!$C$7,1)</f>
        <v>2034760</v>
      </c>
      <c r="O79" s="36" t="n">
        <f aca="false">N79*J79</f>
        <v>1933022</v>
      </c>
      <c r="P79" s="37" t="n">
        <f aca="false">E79*(1-K79)</f>
        <v>7.2</v>
      </c>
      <c r="Q79" s="37" t="n">
        <f aca="false">O79*P79/10000000</f>
        <v>1.39177584</v>
      </c>
      <c r="R79" s="37" t="n">
        <f aca="false">O79*F79/10000000+IF(Assumptions!$C$6="Downside",Q79*Assumptions!$C$8,0)</f>
        <v>1.01483655</v>
      </c>
      <c r="S79" s="37" t="n">
        <f aca="false">Q79*L79</f>
        <v>0.1948486176</v>
      </c>
      <c r="T79" s="37" t="n">
        <f aca="false">O79*M79/10000000</f>
        <v>0.32861374</v>
      </c>
      <c r="U79" s="37" t="n">
        <f aca="false">Q79-SUM(R79:T79)</f>
        <v>-0.1465230676</v>
      </c>
      <c r="V79" s="28" t="n">
        <f aca="false">IFERROR(U79/Q79,0)</f>
        <v>-0.105277777777778</v>
      </c>
      <c r="W79" s="25" t="str">
        <f aca="false">Assumptions!F131</f>
        <v>Illustrative (replace with pilot)</v>
      </c>
      <c r="X79" s="25" t="str">
        <f aca="false">Assumptions!C24&amp;" | "&amp;Assumptions!D24</f>
        <v>Everyday Sabzi Masala | 8g trial</v>
      </c>
    </row>
    <row r="80" customFormat="false" ht="15" hidden="false" customHeight="false" outlineLevel="0" collapsed="false">
      <c r="A80" s="25" t="str">
        <f aca="false">Assumptions!A132</f>
        <v>FY24</v>
      </c>
      <c r="B80" s="25" t="str">
        <f aca="false">Assumptions!B132</f>
        <v>SAB_T</v>
      </c>
      <c r="C80" s="25" t="str">
        <f aca="false">Assumptions!B24</f>
        <v>Spices</v>
      </c>
      <c r="D80" s="25" t="str">
        <f aca="false">Assumptions!C132</f>
        <v>QCom</v>
      </c>
      <c r="E80" s="20" t="n">
        <f aca="false">Assumptions!E24*(1+Assumptions!$C$11)^2</f>
        <v>10</v>
      </c>
      <c r="F80" s="20" t="n">
        <f aca="false">Assumptions!F24*(1+Assumptions!$C$12)^2</f>
        <v>5.25</v>
      </c>
      <c r="G80" s="25" t="n">
        <f aca="false">Assumptions!G24</f>
        <v>52</v>
      </c>
      <c r="H80" s="33" t="n">
        <f aca="false">Assumptions!D132</f>
        <v>910</v>
      </c>
      <c r="I80" s="34" t="n">
        <f aca="false">Assumptions!E132</f>
        <v>51.6</v>
      </c>
      <c r="J80" s="35" t="n">
        <f aca="false">Assumptions!$C$13</f>
        <v>0.95</v>
      </c>
      <c r="K80" s="35" t="n">
        <f aca="false">Assumptions!B42</f>
        <v>0.38</v>
      </c>
      <c r="L80" s="35" t="n">
        <f aca="false">Assumptions!C42+IF(Assumptions!$C$6="Downside",Assumptions!$C$9,0)</f>
        <v>0.24</v>
      </c>
      <c r="M80" s="25" t="n">
        <f aca="false">Assumptions!E42</f>
        <v>2</v>
      </c>
      <c r="N80" s="36" t="n">
        <f aca="false">H80*I80*G80*IF(Assumptions!$C$6="Downside",1-Assumptions!$C$7,1)</f>
        <v>2441712</v>
      </c>
      <c r="O80" s="36" t="n">
        <f aca="false">N80*J80</f>
        <v>2319626.4</v>
      </c>
      <c r="P80" s="37" t="n">
        <f aca="false">E80*(1-K80)</f>
        <v>6.2</v>
      </c>
      <c r="Q80" s="37" t="n">
        <f aca="false">O80*P80/10000000</f>
        <v>1.438168368</v>
      </c>
      <c r="R80" s="37" t="n">
        <f aca="false">O80*F80/10000000+IF(Assumptions!$C$6="Downside",Q80*Assumptions!$C$8,0)</f>
        <v>1.21780386</v>
      </c>
      <c r="S80" s="37" t="n">
        <f aca="false">Q80*L80</f>
        <v>0.34516040832</v>
      </c>
      <c r="T80" s="37" t="n">
        <f aca="false">O80*M80/10000000</f>
        <v>0.46392528</v>
      </c>
      <c r="U80" s="37" t="n">
        <f aca="false">Q80-SUM(R80:T80)</f>
        <v>-0.58872118032</v>
      </c>
      <c r="V80" s="28" t="n">
        <f aca="false">IFERROR(U80/Q80,0)</f>
        <v>-0.409354838709677</v>
      </c>
      <c r="W80" s="25" t="str">
        <f aca="false">Assumptions!F132</f>
        <v>Illustrative (replace with pilot)</v>
      </c>
      <c r="X80" s="25" t="str">
        <f aca="false">Assumptions!C24&amp;" | "&amp;Assumptions!D24</f>
        <v>Everyday Sabzi Masala | 8g trial</v>
      </c>
    </row>
    <row r="81" customFormat="false" ht="15" hidden="false" customHeight="false" outlineLevel="0" collapsed="false">
      <c r="A81" s="25" t="str">
        <f aca="false">Assumptions!A133</f>
        <v>FY24</v>
      </c>
      <c r="B81" s="25" t="str">
        <f aca="false">Assumptions!B133</f>
        <v>SAB_L</v>
      </c>
      <c r="C81" s="25" t="str">
        <f aca="false">Assumptions!B25</f>
        <v>Spices</v>
      </c>
      <c r="D81" s="25" t="str">
        <f aca="false">Assumptions!C133</f>
        <v>GT</v>
      </c>
      <c r="E81" s="20" t="n">
        <f aca="false">Assumptions!E25*(1+Assumptions!$C$11)^2</f>
        <v>49</v>
      </c>
      <c r="F81" s="20" t="n">
        <f aca="false">Assumptions!F25*(1+Assumptions!$C$12)^2</f>
        <v>23</v>
      </c>
      <c r="G81" s="25" t="n">
        <f aca="false">Assumptions!G25</f>
        <v>52</v>
      </c>
      <c r="H81" s="33" t="n">
        <f aca="false">Assumptions!D133</f>
        <v>75000</v>
      </c>
      <c r="I81" s="34" t="n">
        <f aca="false">Assumptions!E133</f>
        <v>5.2</v>
      </c>
      <c r="J81" s="35" t="n">
        <f aca="false">Assumptions!$C$13</f>
        <v>0.95</v>
      </c>
      <c r="K81" s="35" t="n">
        <f aca="false">Assumptions!B40</f>
        <v>0.25</v>
      </c>
      <c r="L81" s="35" t="n">
        <f aca="false">Assumptions!C40+IF(Assumptions!$C$6="Downside",Assumptions!$C$9,0)</f>
        <v>0.065</v>
      </c>
      <c r="M81" s="25" t="n">
        <f aca="false">Assumptions!E40</f>
        <v>1</v>
      </c>
      <c r="N81" s="36" t="n">
        <f aca="false">H81*I81*G81*IF(Assumptions!$C$6="Downside",1-Assumptions!$C$7,1)</f>
        <v>20280000</v>
      </c>
      <c r="O81" s="36" t="n">
        <f aca="false">N81*J81</f>
        <v>19266000</v>
      </c>
      <c r="P81" s="37" t="n">
        <f aca="false">E81*(1-K81)</f>
        <v>36.75</v>
      </c>
      <c r="Q81" s="37" t="n">
        <f aca="false">O81*P81/10000000</f>
        <v>70.80255</v>
      </c>
      <c r="R81" s="37" t="n">
        <f aca="false">O81*F81/10000000+IF(Assumptions!$C$6="Downside",Q81*Assumptions!$C$8,0)</f>
        <v>44.3118</v>
      </c>
      <c r="S81" s="37" t="n">
        <f aca="false">Q81*L81</f>
        <v>4.60216575</v>
      </c>
      <c r="T81" s="37" t="n">
        <f aca="false">O81*M81/10000000</f>
        <v>1.9266</v>
      </c>
      <c r="U81" s="37" t="n">
        <f aca="false">Q81-SUM(R81:T81)</f>
        <v>19.96198425</v>
      </c>
      <c r="V81" s="28" t="n">
        <f aca="false">IFERROR(U81/Q81,0)</f>
        <v>0.281938775510204</v>
      </c>
      <c r="W81" s="25" t="str">
        <f aca="false">Assumptions!F133</f>
        <v>Illustrative (replace with pilot)</v>
      </c>
      <c r="X81" s="25" t="str">
        <f aca="false">Assumptions!C25&amp;" | "&amp;Assumptions!D25</f>
        <v>Everyday Sabzi Masala | 50g pouch</v>
      </c>
    </row>
    <row r="82" customFormat="false" ht="15" hidden="false" customHeight="false" outlineLevel="0" collapsed="false">
      <c r="A82" s="25" t="str">
        <f aca="false">Assumptions!A134</f>
        <v>FY24</v>
      </c>
      <c r="B82" s="25" t="str">
        <f aca="false">Assumptions!B134</f>
        <v>SAB_L</v>
      </c>
      <c r="C82" s="25" t="str">
        <f aca="false">Assumptions!B25</f>
        <v>Spices</v>
      </c>
      <c r="D82" s="25" t="str">
        <f aca="false">Assumptions!C134</f>
        <v>Modern</v>
      </c>
      <c r="E82" s="20" t="n">
        <f aca="false">Assumptions!E25*(1+Assumptions!$C$11)^2</f>
        <v>49</v>
      </c>
      <c r="F82" s="20" t="n">
        <f aca="false">Assumptions!F25*(1+Assumptions!$C$12)^2</f>
        <v>23</v>
      </c>
      <c r="G82" s="25" t="n">
        <f aca="false">Assumptions!G25</f>
        <v>52</v>
      </c>
      <c r="H82" s="33" t="n">
        <f aca="false">Assumptions!D134</f>
        <v>2625</v>
      </c>
      <c r="I82" s="34" t="n">
        <f aca="false">Assumptions!E134</f>
        <v>20.8</v>
      </c>
      <c r="J82" s="35" t="n">
        <f aca="false">Assumptions!$C$13</f>
        <v>0.95</v>
      </c>
      <c r="K82" s="35" t="n">
        <f aca="false">Assumptions!B41</f>
        <v>0.28</v>
      </c>
      <c r="L82" s="35" t="n">
        <f aca="false">Assumptions!C41+IF(Assumptions!$C$6="Downside",Assumptions!$C$9,0)</f>
        <v>0.14</v>
      </c>
      <c r="M82" s="25" t="n">
        <f aca="false">Assumptions!E41</f>
        <v>1.7</v>
      </c>
      <c r="N82" s="36" t="n">
        <f aca="false">H82*I82*G82*IF(Assumptions!$C$6="Downside",1-Assumptions!$C$7,1)</f>
        <v>2839200</v>
      </c>
      <c r="O82" s="36" t="n">
        <f aca="false">N82*J82</f>
        <v>2697240</v>
      </c>
      <c r="P82" s="37" t="n">
        <f aca="false">E82*(1-K82)</f>
        <v>35.28</v>
      </c>
      <c r="Q82" s="37" t="n">
        <f aca="false">O82*P82/10000000</f>
        <v>9.51586272</v>
      </c>
      <c r="R82" s="37" t="n">
        <f aca="false">O82*F82/10000000+IF(Assumptions!$C$6="Downside",Q82*Assumptions!$C$8,0)</f>
        <v>6.203652</v>
      </c>
      <c r="S82" s="37" t="n">
        <f aca="false">Q82*L82</f>
        <v>1.3322207808</v>
      </c>
      <c r="T82" s="37" t="n">
        <f aca="false">O82*M82/10000000</f>
        <v>0.4585308</v>
      </c>
      <c r="U82" s="37" t="n">
        <f aca="false">Q82-SUM(R82:T82)</f>
        <v>1.5214591392</v>
      </c>
      <c r="V82" s="28" t="n">
        <f aca="false">IFERROR(U82/Q82,0)</f>
        <v>0.159886621315193</v>
      </c>
      <c r="W82" s="25" t="str">
        <f aca="false">Assumptions!F134</f>
        <v>Illustrative (replace with pilot)</v>
      </c>
      <c r="X82" s="25" t="str">
        <f aca="false">Assumptions!C25&amp;" | "&amp;Assumptions!D25</f>
        <v>Everyday Sabzi Masala | 50g pouch</v>
      </c>
    </row>
    <row r="83" customFormat="false" ht="15" hidden="false" customHeight="false" outlineLevel="0" collapsed="false">
      <c r="A83" s="25" t="str">
        <f aca="false">Assumptions!A135</f>
        <v>FY24</v>
      </c>
      <c r="B83" s="25" t="str">
        <f aca="false">Assumptions!B135</f>
        <v>SAB_L</v>
      </c>
      <c r="C83" s="25" t="str">
        <f aca="false">Assumptions!B25</f>
        <v>Spices</v>
      </c>
      <c r="D83" s="25" t="str">
        <f aca="false">Assumptions!C135</f>
        <v>QCom</v>
      </c>
      <c r="E83" s="20" t="n">
        <f aca="false">Assumptions!E25*(1+Assumptions!$C$11)^2</f>
        <v>49</v>
      </c>
      <c r="F83" s="20" t="n">
        <f aca="false">Assumptions!F25*(1+Assumptions!$C$12)^2</f>
        <v>23</v>
      </c>
      <c r="G83" s="25" t="n">
        <f aca="false">Assumptions!G25</f>
        <v>52</v>
      </c>
      <c r="H83" s="33" t="n">
        <f aca="false">Assumptions!D135</f>
        <v>1050</v>
      </c>
      <c r="I83" s="34" t="n">
        <f aca="false">Assumptions!E135</f>
        <v>62.4</v>
      </c>
      <c r="J83" s="35" t="n">
        <f aca="false">Assumptions!$C$13</f>
        <v>0.95</v>
      </c>
      <c r="K83" s="35" t="n">
        <f aca="false">Assumptions!B42</f>
        <v>0.38</v>
      </c>
      <c r="L83" s="35" t="n">
        <f aca="false">Assumptions!C42+IF(Assumptions!$C$6="Downside",Assumptions!$C$9,0)</f>
        <v>0.24</v>
      </c>
      <c r="M83" s="25" t="n">
        <f aca="false">Assumptions!E42</f>
        <v>2</v>
      </c>
      <c r="N83" s="36" t="n">
        <f aca="false">H83*I83*G83*IF(Assumptions!$C$6="Downside",1-Assumptions!$C$7,1)</f>
        <v>3407040</v>
      </c>
      <c r="O83" s="36" t="n">
        <f aca="false">N83*J83</f>
        <v>3236688</v>
      </c>
      <c r="P83" s="37" t="n">
        <f aca="false">E83*(1-K83)</f>
        <v>30.38</v>
      </c>
      <c r="Q83" s="37" t="n">
        <f aca="false">O83*P83/10000000</f>
        <v>9.833058144</v>
      </c>
      <c r="R83" s="37" t="n">
        <f aca="false">O83*F83/10000000+IF(Assumptions!$C$6="Downside",Q83*Assumptions!$C$8,0)</f>
        <v>7.4443824</v>
      </c>
      <c r="S83" s="37" t="n">
        <f aca="false">Q83*L83</f>
        <v>2.35993395456</v>
      </c>
      <c r="T83" s="37" t="n">
        <f aca="false">O83*M83/10000000</f>
        <v>0.6473376</v>
      </c>
      <c r="U83" s="37" t="n">
        <f aca="false">Q83-SUM(R83:T83)</f>
        <v>-0.618595810560002</v>
      </c>
      <c r="V83" s="28" t="n">
        <f aca="false">IFERROR(U83/Q83,0)</f>
        <v>-0.0629098090849245</v>
      </c>
      <c r="W83" s="25" t="str">
        <f aca="false">Assumptions!F135</f>
        <v>Illustrative (replace with pilot)</v>
      </c>
      <c r="X83" s="25" t="str">
        <f aca="false">Assumptions!C25&amp;" | "&amp;Assumptions!D25</f>
        <v>Everyday Sabzi Masala | 50g pouch</v>
      </c>
    </row>
    <row r="84" customFormat="false" ht="15" hidden="false" customHeight="false" outlineLevel="0" collapsed="false">
      <c r="A84" s="25" t="str">
        <f aca="false">Assumptions!A136</f>
        <v>FY24</v>
      </c>
      <c r="B84" s="25" t="str">
        <f aca="false">Assumptions!B136</f>
        <v>GAR_T</v>
      </c>
      <c r="C84" s="25" t="str">
        <f aca="false">Assumptions!B26</f>
        <v>Spices</v>
      </c>
      <c r="D84" s="25" t="str">
        <f aca="false">Assumptions!C136</f>
        <v>GT</v>
      </c>
      <c r="E84" s="20" t="n">
        <f aca="false">Assumptions!E26*(1+Assumptions!$C$11)^2</f>
        <v>10</v>
      </c>
      <c r="F84" s="20" t="n">
        <f aca="false">Assumptions!F26*(1+Assumptions!$C$12)^2</f>
        <v>5.35</v>
      </c>
      <c r="G84" s="25" t="n">
        <f aca="false">Assumptions!G26</f>
        <v>52</v>
      </c>
      <c r="H84" s="33" t="n">
        <f aca="false">Assumptions!D136</f>
        <v>57000</v>
      </c>
      <c r="I84" s="34" t="n">
        <f aca="false">Assumptions!E136</f>
        <v>3.7</v>
      </c>
      <c r="J84" s="35" t="n">
        <f aca="false">Assumptions!$C$13</f>
        <v>0.95</v>
      </c>
      <c r="K84" s="35" t="n">
        <f aca="false">Assumptions!B40</f>
        <v>0.25</v>
      </c>
      <c r="L84" s="35" t="n">
        <f aca="false">Assumptions!C40+IF(Assumptions!$C$6="Downside",Assumptions!$C$9,0)</f>
        <v>0.065</v>
      </c>
      <c r="M84" s="25" t="n">
        <f aca="false">Assumptions!E40</f>
        <v>1</v>
      </c>
      <c r="N84" s="36" t="n">
        <f aca="false">H84*I84*G84*IF(Assumptions!$C$6="Downside",1-Assumptions!$C$7,1)</f>
        <v>10966800</v>
      </c>
      <c r="O84" s="36" t="n">
        <f aca="false">N84*J84</f>
        <v>10418460</v>
      </c>
      <c r="P84" s="37" t="n">
        <f aca="false">E84*(1-K84)</f>
        <v>7.5</v>
      </c>
      <c r="Q84" s="37" t="n">
        <f aca="false">O84*P84/10000000</f>
        <v>7.813845</v>
      </c>
      <c r="R84" s="37" t="n">
        <f aca="false">O84*F84/10000000+IF(Assumptions!$C$6="Downside",Q84*Assumptions!$C$8,0)</f>
        <v>5.5738761</v>
      </c>
      <c r="S84" s="37" t="n">
        <f aca="false">Q84*L84</f>
        <v>0.507899925</v>
      </c>
      <c r="T84" s="37" t="n">
        <f aca="false">O84*M84/10000000</f>
        <v>1.041846</v>
      </c>
      <c r="U84" s="37" t="n">
        <f aca="false">Q84-SUM(R84:T84)</f>
        <v>0.690222975</v>
      </c>
      <c r="V84" s="28" t="n">
        <f aca="false">IFERROR(U84/Q84,0)</f>
        <v>0.0883333333333334</v>
      </c>
      <c r="W84" s="25" t="str">
        <f aca="false">Assumptions!F136</f>
        <v>Illustrative (replace with pilot)</v>
      </c>
      <c r="X84" s="25" t="str">
        <f aca="false">Assumptions!C26&amp;" | "&amp;Assumptions!D26</f>
        <v>Garam Masala | 5g trial</v>
      </c>
    </row>
    <row r="85" customFormat="false" ht="15" hidden="false" customHeight="false" outlineLevel="0" collapsed="false">
      <c r="A85" s="25" t="str">
        <f aca="false">Assumptions!A137</f>
        <v>FY24</v>
      </c>
      <c r="B85" s="25" t="str">
        <f aca="false">Assumptions!B137</f>
        <v>GAR_T</v>
      </c>
      <c r="C85" s="25" t="str">
        <f aca="false">Assumptions!B26</f>
        <v>Spices</v>
      </c>
      <c r="D85" s="25" t="str">
        <f aca="false">Assumptions!C137</f>
        <v>Modern</v>
      </c>
      <c r="E85" s="20" t="n">
        <f aca="false">Assumptions!E26*(1+Assumptions!$C$11)^2</f>
        <v>10</v>
      </c>
      <c r="F85" s="20" t="n">
        <f aca="false">Assumptions!F26*(1+Assumptions!$C$12)^2</f>
        <v>5.35</v>
      </c>
      <c r="G85" s="25" t="n">
        <f aca="false">Assumptions!G26</f>
        <v>52</v>
      </c>
      <c r="H85" s="33" t="n">
        <f aca="false">Assumptions!D137</f>
        <v>1995</v>
      </c>
      <c r="I85" s="34" t="n">
        <f aca="false">Assumptions!E137</f>
        <v>14.8</v>
      </c>
      <c r="J85" s="35" t="n">
        <f aca="false">Assumptions!$C$13</f>
        <v>0.95</v>
      </c>
      <c r="K85" s="35" t="n">
        <f aca="false">Assumptions!B41</f>
        <v>0.28</v>
      </c>
      <c r="L85" s="35" t="n">
        <f aca="false">Assumptions!C41+IF(Assumptions!$C$6="Downside",Assumptions!$C$9,0)</f>
        <v>0.14</v>
      </c>
      <c r="M85" s="25" t="n">
        <f aca="false">Assumptions!E41</f>
        <v>1.7</v>
      </c>
      <c r="N85" s="36" t="n">
        <f aca="false">H85*I85*G85*IF(Assumptions!$C$6="Downside",1-Assumptions!$C$7,1)</f>
        <v>1535352</v>
      </c>
      <c r="O85" s="36" t="n">
        <f aca="false">N85*J85</f>
        <v>1458584.4</v>
      </c>
      <c r="P85" s="37" t="n">
        <f aca="false">E85*(1-K85)</f>
        <v>7.2</v>
      </c>
      <c r="Q85" s="37" t="n">
        <f aca="false">O85*P85/10000000</f>
        <v>1.050180768</v>
      </c>
      <c r="R85" s="37" t="n">
        <f aca="false">O85*F85/10000000+IF(Assumptions!$C$6="Downside",Q85*Assumptions!$C$8,0)</f>
        <v>0.780342654</v>
      </c>
      <c r="S85" s="37" t="n">
        <f aca="false">Q85*L85</f>
        <v>0.14702530752</v>
      </c>
      <c r="T85" s="37" t="n">
        <f aca="false">O85*M85/10000000</f>
        <v>0.247959348</v>
      </c>
      <c r="U85" s="37" t="n">
        <f aca="false">Q85-SUM(R85:T85)</f>
        <v>-0.12514654152</v>
      </c>
      <c r="V85" s="28" t="n">
        <f aca="false">IFERROR(U85/Q85,0)</f>
        <v>-0.119166666666667</v>
      </c>
      <c r="W85" s="25" t="str">
        <f aca="false">Assumptions!F137</f>
        <v>Illustrative (replace with pilot)</v>
      </c>
      <c r="X85" s="25" t="str">
        <f aca="false">Assumptions!C26&amp;" | "&amp;Assumptions!D26</f>
        <v>Garam Masala | 5g trial</v>
      </c>
    </row>
    <row r="86" customFormat="false" ht="15" hidden="false" customHeight="false" outlineLevel="0" collapsed="false">
      <c r="A86" s="25" t="str">
        <f aca="false">Assumptions!A138</f>
        <v>FY24</v>
      </c>
      <c r="B86" s="25" t="str">
        <f aca="false">Assumptions!B138</f>
        <v>GAR_T</v>
      </c>
      <c r="C86" s="25" t="str">
        <f aca="false">Assumptions!B26</f>
        <v>Spices</v>
      </c>
      <c r="D86" s="25" t="str">
        <f aca="false">Assumptions!C138</f>
        <v>QCom</v>
      </c>
      <c r="E86" s="20" t="n">
        <f aca="false">Assumptions!E26*(1+Assumptions!$C$11)^2</f>
        <v>10</v>
      </c>
      <c r="F86" s="20" t="n">
        <f aca="false">Assumptions!F26*(1+Assumptions!$C$12)^2</f>
        <v>5.35</v>
      </c>
      <c r="G86" s="25" t="n">
        <f aca="false">Assumptions!G26</f>
        <v>52</v>
      </c>
      <c r="H86" s="33" t="n">
        <f aca="false">Assumptions!D138</f>
        <v>798</v>
      </c>
      <c r="I86" s="34" t="n">
        <f aca="false">Assumptions!E138</f>
        <v>44.4</v>
      </c>
      <c r="J86" s="35" t="n">
        <f aca="false">Assumptions!$C$13</f>
        <v>0.95</v>
      </c>
      <c r="K86" s="35" t="n">
        <f aca="false">Assumptions!B42</f>
        <v>0.38</v>
      </c>
      <c r="L86" s="35" t="n">
        <f aca="false">Assumptions!C42+IF(Assumptions!$C$6="Downside",Assumptions!$C$9,0)</f>
        <v>0.24</v>
      </c>
      <c r="M86" s="25" t="n">
        <f aca="false">Assumptions!E42</f>
        <v>2</v>
      </c>
      <c r="N86" s="36" t="n">
        <f aca="false">H86*I86*G86*IF(Assumptions!$C$6="Downside",1-Assumptions!$C$7,1)</f>
        <v>1842422.4</v>
      </c>
      <c r="O86" s="36" t="n">
        <f aca="false">N86*J86</f>
        <v>1750301.28</v>
      </c>
      <c r="P86" s="37" t="n">
        <f aca="false">E86*(1-K86)</f>
        <v>6.2</v>
      </c>
      <c r="Q86" s="37" t="n">
        <f aca="false">O86*P86/10000000</f>
        <v>1.0851867936</v>
      </c>
      <c r="R86" s="37" t="n">
        <f aca="false">O86*F86/10000000+IF(Assumptions!$C$6="Downside",Q86*Assumptions!$C$8,0)</f>
        <v>0.9364111848</v>
      </c>
      <c r="S86" s="37" t="n">
        <f aca="false">Q86*L86</f>
        <v>0.260444830464</v>
      </c>
      <c r="T86" s="37" t="n">
        <f aca="false">O86*M86/10000000</f>
        <v>0.350060256</v>
      </c>
      <c r="U86" s="37" t="n">
        <f aca="false">Q86-SUM(R86:T86)</f>
        <v>-0.461729477664</v>
      </c>
      <c r="V86" s="28" t="n">
        <f aca="false">IFERROR(U86/Q86,0)</f>
        <v>-0.425483870967742</v>
      </c>
      <c r="W86" s="25" t="str">
        <f aca="false">Assumptions!F138</f>
        <v>Illustrative (replace with pilot)</v>
      </c>
      <c r="X86" s="25" t="str">
        <f aca="false">Assumptions!C26&amp;" | "&amp;Assumptions!D26</f>
        <v>Garam Masala | 5g trial</v>
      </c>
    </row>
    <row r="87" customFormat="false" ht="15" hidden="false" customHeight="false" outlineLevel="0" collapsed="false">
      <c r="A87" s="25" t="str">
        <f aca="false">Assumptions!A139</f>
        <v>FY24</v>
      </c>
      <c r="B87" s="25" t="str">
        <f aca="false">Assumptions!B139</f>
        <v>GAR_L</v>
      </c>
      <c r="C87" s="25" t="str">
        <f aca="false">Assumptions!B27</f>
        <v>Spices</v>
      </c>
      <c r="D87" s="25" t="str">
        <f aca="false">Assumptions!C139</f>
        <v>GT</v>
      </c>
      <c r="E87" s="20" t="n">
        <f aca="false">Assumptions!E27*(1+Assumptions!$C$11)^2</f>
        <v>49</v>
      </c>
      <c r="F87" s="20" t="n">
        <f aca="false">Assumptions!F27*(1+Assumptions!$C$12)^2</f>
        <v>23.5</v>
      </c>
      <c r="G87" s="25" t="n">
        <f aca="false">Assumptions!G27</f>
        <v>52</v>
      </c>
      <c r="H87" s="33" t="n">
        <f aca="false">Assumptions!D139</f>
        <v>70000</v>
      </c>
      <c r="I87" s="34" t="n">
        <f aca="false">Assumptions!E139</f>
        <v>4.4</v>
      </c>
      <c r="J87" s="35" t="n">
        <f aca="false">Assumptions!$C$13</f>
        <v>0.95</v>
      </c>
      <c r="K87" s="35" t="n">
        <f aca="false">Assumptions!B40</f>
        <v>0.25</v>
      </c>
      <c r="L87" s="35" t="n">
        <f aca="false">Assumptions!C40+IF(Assumptions!$C$6="Downside",Assumptions!$C$9,0)</f>
        <v>0.065</v>
      </c>
      <c r="M87" s="25" t="n">
        <f aca="false">Assumptions!E40</f>
        <v>1</v>
      </c>
      <c r="N87" s="36" t="n">
        <f aca="false">H87*I87*G87*IF(Assumptions!$C$6="Downside",1-Assumptions!$C$7,1)</f>
        <v>16016000</v>
      </c>
      <c r="O87" s="36" t="n">
        <f aca="false">N87*J87</f>
        <v>15215200</v>
      </c>
      <c r="P87" s="37" t="n">
        <f aca="false">E87*(1-K87)</f>
        <v>36.75</v>
      </c>
      <c r="Q87" s="37" t="n">
        <f aca="false">O87*P87/10000000</f>
        <v>55.91586</v>
      </c>
      <c r="R87" s="37" t="n">
        <f aca="false">O87*F87/10000000+IF(Assumptions!$C$6="Downside",Q87*Assumptions!$C$8,0)</f>
        <v>35.75572</v>
      </c>
      <c r="S87" s="37" t="n">
        <f aca="false">Q87*L87</f>
        <v>3.6345309</v>
      </c>
      <c r="T87" s="37" t="n">
        <f aca="false">O87*M87/10000000</f>
        <v>1.52152</v>
      </c>
      <c r="U87" s="37" t="n">
        <f aca="false">Q87-SUM(R87:T87)</f>
        <v>15.0040891</v>
      </c>
      <c r="V87" s="28" t="n">
        <f aca="false">IFERROR(U87/Q87,0)</f>
        <v>0.268333333333333</v>
      </c>
      <c r="W87" s="25" t="str">
        <f aca="false">Assumptions!F139</f>
        <v>Illustrative (replace with pilot)</v>
      </c>
      <c r="X87" s="25" t="str">
        <f aca="false">Assumptions!C27&amp;" | "&amp;Assumptions!D27</f>
        <v>Garam Masala | 50g pouch</v>
      </c>
    </row>
    <row r="88" customFormat="false" ht="15" hidden="false" customHeight="false" outlineLevel="0" collapsed="false">
      <c r="A88" s="25" t="str">
        <f aca="false">Assumptions!A140</f>
        <v>FY24</v>
      </c>
      <c r="B88" s="25" t="str">
        <f aca="false">Assumptions!B140</f>
        <v>GAR_L</v>
      </c>
      <c r="C88" s="25" t="str">
        <f aca="false">Assumptions!B27</f>
        <v>Spices</v>
      </c>
      <c r="D88" s="25" t="str">
        <f aca="false">Assumptions!C140</f>
        <v>Modern</v>
      </c>
      <c r="E88" s="20" t="n">
        <f aca="false">Assumptions!E27*(1+Assumptions!$C$11)^2</f>
        <v>49</v>
      </c>
      <c r="F88" s="20" t="n">
        <f aca="false">Assumptions!F27*(1+Assumptions!$C$12)^2</f>
        <v>23.5</v>
      </c>
      <c r="G88" s="25" t="n">
        <f aca="false">Assumptions!G27</f>
        <v>52</v>
      </c>
      <c r="H88" s="33" t="n">
        <f aca="false">Assumptions!D140</f>
        <v>2450</v>
      </c>
      <c r="I88" s="34" t="n">
        <f aca="false">Assumptions!E140</f>
        <v>17.6</v>
      </c>
      <c r="J88" s="35" t="n">
        <f aca="false">Assumptions!$C$13</f>
        <v>0.95</v>
      </c>
      <c r="K88" s="35" t="n">
        <f aca="false">Assumptions!B41</f>
        <v>0.28</v>
      </c>
      <c r="L88" s="35" t="n">
        <f aca="false">Assumptions!C41+IF(Assumptions!$C$6="Downside",Assumptions!$C$9,0)</f>
        <v>0.14</v>
      </c>
      <c r="M88" s="25" t="n">
        <f aca="false">Assumptions!E41</f>
        <v>1.7</v>
      </c>
      <c r="N88" s="36" t="n">
        <f aca="false">H88*I88*G88*IF(Assumptions!$C$6="Downside",1-Assumptions!$C$7,1)</f>
        <v>2242240</v>
      </c>
      <c r="O88" s="36" t="n">
        <f aca="false">N88*J88</f>
        <v>2130128</v>
      </c>
      <c r="P88" s="37" t="n">
        <f aca="false">E88*(1-K88)</f>
        <v>35.28</v>
      </c>
      <c r="Q88" s="37" t="n">
        <f aca="false">O88*P88/10000000</f>
        <v>7.515091584</v>
      </c>
      <c r="R88" s="37" t="n">
        <f aca="false">O88*F88/10000000+IF(Assumptions!$C$6="Downside",Q88*Assumptions!$C$8,0)</f>
        <v>5.0058008</v>
      </c>
      <c r="S88" s="37" t="n">
        <f aca="false">Q88*L88</f>
        <v>1.05211282176</v>
      </c>
      <c r="T88" s="37" t="n">
        <f aca="false">O88*M88/10000000</f>
        <v>0.36212176</v>
      </c>
      <c r="U88" s="37" t="n">
        <f aca="false">Q88-SUM(R88:T88)</f>
        <v>1.09505620224</v>
      </c>
      <c r="V88" s="28" t="n">
        <f aca="false">IFERROR(U88/Q88,0)</f>
        <v>0.145714285714286</v>
      </c>
      <c r="W88" s="25" t="str">
        <f aca="false">Assumptions!F140</f>
        <v>Illustrative (replace with pilot)</v>
      </c>
      <c r="X88" s="25" t="str">
        <f aca="false">Assumptions!C27&amp;" | "&amp;Assumptions!D27</f>
        <v>Garam Masala | 50g pouch</v>
      </c>
    </row>
    <row r="89" customFormat="false" ht="15" hidden="false" customHeight="false" outlineLevel="0" collapsed="false">
      <c r="A89" s="25" t="str">
        <f aca="false">Assumptions!A141</f>
        <v>FY24</v>
      </c>
      <c r="B89" s="25" t="str">
        <f aca="false">Assumptions!B141</f>
        <v>GAR_L</v>
      </c>
      <c r="C89" s="25" t="str">
        <f aca="false">Assumptions!B27</f>
        <v>Spices</v>
      </c>
      <c r="D89" s="25" t="str">
        <f aca="false">Assumptions!C141</f>
        <v>QCom</v>
      </c>
      <c r="E89" s="20" t="n">
        <f aca="false">Assumptions!E27*(1+Assumptions!$C$11)^2</f>
        <v>49</v>
      </c>
      <c r="F89" s="20" t="n">
        <f aca="false">Assumptions!F27*(1+Assumptions!$C$12)^2</f>
        <v>23.5</v>
      </c>
      <c r="G89" s="25" t="n">
        <f aca="false">Assumptions!G27</f>
        <v>52</v>
      </c>
      <c r="H89" s="33" t="n">
        <f aca="false">Assumptions!D141</f>
        <v>980</v>
      </c>
      <c r="I89" s="34" t="n">
        <f aca="false">Assumptions!E141</f>
        <v>52.8</v>
      </c>
      <c r="J89" s="35" t="n">
        <f aca="false">Assumptions!$C$13</f>
        <v>0.95</v>
      </c>
      <c r="K89" s="35" t="n">
        <f aca="false">Assumptions!B42</f>
        <v>0.38</v>
      </c>
      <c r="L89" s="35" t="n">
        <f aca="false">Assumptions!C42+IF(Assumptions!$C$6="Downside",Assumptions!$C$9,0)</f>
        <v>0.24</v>
      </c>
      <c r="M89" s="25" t="n">
        <f aca="false">Assumptions!E42</f>
        <v>2</v>
      </c>
      <c r="N89" s="36" t="n">
        <f aca="false">H89*I89*G89*IF(Assumptions!$C$6="Downside",1-Assumptions!$C$7,1)</f>
        <v>2690688</v>
      </c>
      <c r="O89" s="36" t="n">
        <f aca="false">N89*J89</f>
        <v>2556153.6</v>
      </c>
      <c r="P89" s="37" t="n">
        <f aca="false">E89*(1-K89)</f>
        <v>30.38</v>
      </c>
      <c r="Q89" s="37" t="n">
        <f aca="false">O89*P89/10000000</f>
        <v>7.7655946368</v>
      </c>
      <c r="R89" s="37" t="n">
        <f aca="false">O89*F89/10000000+IF(Assumptions!$C$6="Downside",Q89*Assumptions!$C$8,0)</f>
        <v>6.00696096</v>
      </c>
      <c r="S89" s="37" t="n">
        <f aca="false">Q89*L89</f>
        <v>1.863742712832</v>
      </c>
      <c r="T89" s="37" t="n">
        <f aca="false">O89*M89/10000000</f>
        <v>0.51123072</v>
      </c>
      <c r="U89" s="37" t="n">
        <f aca="false">Q89-SUM(R89:T89)</f>
        <v>-0.616339756031999</v>
      </c>
      <c r="V89" s="28" t="n">
        <f aca="false">IFERROR(U89/Q89,0)</f>
        <v>-0.0793680052666226</v>
      </c>
      <c r="W89" s="25" t="str">
        <f aca="false">Assumptions!F141</f>
        <v>Illustrative (replace with pilot)</v>
      </c>
      <c r="X89" s="25" t="str">
        <f aca="false">Assumptions!C27&amp;" | "&amp;Assumptions!D27</f>
        <v>Garam Masala | 50g pouch</v>
      </c>
    </row>
    <row r="90" customFormat="false" ht="15" hidden="false" customHeight="false" outlineLevel="0" collapsed="false">
      <c r="A90" s="25" t="str">
        <f aca="false">Assumptions!A142</f>
        <v>FY24</v>
      </c>
      <c r="B90" s="25" t="str">
        <f aca="false">Assumptions!B142</f>
        <v>GIN_T</v>
      </c>
      <c r="C90" s="25" t="str">
        <f aca="false">Assumptions!B28</f>
        <v>Premixes</v>
      </c>
      <c r="D90" s="25" t="str">
        <f aca="false">Assumptions!C142</f>
        <v>GT</v>
      </c>
      <c r="E90" s="20" t="n">
        <f aca="false">Assumptions!E28*(1+Assumptions!$C$11)^2</f>
        <v>10</v>
      </c>
      <c r="F90" s="20" t="n">
        <f aca="false">Assumptions!F28*(1+Assumptions!$C$12)^2</f>
        <v>4.35</v>
      </c>
      <c r="G90" s="25" t="n">
        <f aca="false">Assumptions!G28</f>
        <v>26</v>
      </c>
      <c r="H90" s="33" t="n">
        <f aca="false">Assumptions!D142</f>
        <v>52000</v>
      </c>
      <c r="I90" s="34" t="n">
        <f aca="false">Assumptions!E142</f>
        <v>5.2</v>
      </c>
      <c r="J90" s="35" t="n">
        <f aca="false">Assumptions!$C$13</f>
        <v>0.95</v>
      </c>
      <c r="K90" s="35" t="n">
        <f aca="false">Assumptions!B40</f>
        <v>0.25</v>
      </c>
      <c r="L90" s="35" t="n">
        <f aca="false">Assumptions!C40+IF(Assumptions!$C$6="Downside",Assumptions!$C$9,0)</f>
        <v>0.065</v>
      </c>
      <c r="M90" s="25" t="n">
        <f aca="false">Assumptions!E40</f>
        <v>1</v>
      </c>
      <c r="N90" s="36" t="n">
        <f aca="false">H90*I90*G90*IF(Assumptions!$C$6="Downside",1-Assumptions!$C$7,1)</f>
        <v>7030400</v>
      </c>
      <c r="O90" s="36" t="n">
        <f aca="false">N90*J90</f>
        <v>6678880</v>
      </c>
      <c r="P90" s="37" t="n">
        <f aca="false">E90*(1-K90)</f>
        <v>7.5</v>
      </c>
      <c r="Q90" s="37" t="n">
        <f aca="false">O90*P90/10000000</f>
        <v>5.00916</v>
      </c>
      <c r="R90" s="37" t="n">
        <f aca="false">O90*F90/10000000+IF(Assumptions!$C$6="Downside",Q90*Assumptions!$C$8,0)</f>
        <v>2.9053128</v>
      </c>
      <c r="S90" s="37" t="n">
        <f aca="false">Q90*L90</f>
        <v>0.3255954</v>
      </c>
      <c r="T90" s="37" t="n">
        <f aca="false">O90*M90/10000000</f>
        <v>0.667888</v>
      </c>
      <c r="U90" s="37" t="n">
        <f aca="false">Q90-SUM(R90:T90)</f>
        <v>1.1103638</v>
      </c>
      <c r="V90" s="28" t="n">
        <f aca="false">IFERROR(U90/Q90,0)</f>
        <v>0.221666666666667</v>
      </c>
      <c r="W90" s="25" t="str">
        <f aca="false">Assumptions!F142</f>
        <v>Illustrative (replace with pilot)</v>
      </c>
      <c r="X90" s="25" t="str">
        <f aca="false">Assumptions!C28&amp;" | "&amp;Assumptions!D28</f>
        <v>Ginger-Lemon Hot Drink | 15g single sachet</v>
      </c>
    </row>
    <row r="91" customFormat="false" ht="15" hidden="false" customHeight="false" outlineLevel="0" collapsed="false">
      <c r="A91" s="25" t="str">
        <f aca="false">Assumptions!A143</f>
        <v>FY24</v>
      </c>
      <c r="B91" s="25" t="str">
        <f aca="false">Assumptions!B143</f>
        <v>GIN_T</v>
      </c>
      <c r="C91" s="25" t="str">
        <f aca="false">Assumptions!B28</f>
        <v>Premixes</v>
      </c>
      <c r="D91" s="25" t="str">
        <f aca="false">Assumptions!C143</f>
        <v>Modern</v>
      </c>
      <c r="E91" s="20" t="n">
        <f aca="false">Assumptions!E28*(1+Assumptions!$C$11)^2</f>
        <v>10</v>
      </c>
      <c r="F91" s="20" t="n">
        <f aca="false">Assumptions!F28*(1+Assumptions!$C$12)^2</f>
        <v>4.35</v>
      </c>
      <c r="G91" s="25" t="n">
        <f aca="false">Assumptions!G28</f>
        <v>26</v>
      </c>
      <c r="H91" s="33" t="n">
        <f aca="false">Assumptions!D143</f>
        <v>1820</v>
      </c>
      <c r="I91" s="34" t="n">
        <f aca="false">Assumptions!E143</f>
        <v>20.8</v>
      </c>
      <c r="J91" s="35" t="n">
        <f aca="false">Assumptions!$C$13</f>
        <v>0.95</v>
      </c>
      <c r="K91" s="35" t="n">
        <f aca="false">Assumptions!B41</f>
        <v>0.28</v>
      </c>
      <c r="L91" s="35" t="n">
        <f aca="false">Assumptions!C41+IF(Assumptions!$C$6="Downside",Assumptions!$C$9,0)</f>
        <v>0.14</v>
      </c>
      <c r="M91" s="25" t="n">
        <f aca="false">Assumptions!E41</f>
        <v>1.7</v>
      </c>
      <c r="N91" s="36" t="n">
        <f aca="false">H91*I91*G91*IF(Assumptions!$C$6="Downside",1-Assumptions!$C$7,1)</f>
        <v>984256</v>
      </c>
      <c r="O91" s="36" t="n">
        <f aca="false">N91*J91</f>
        <v>935043.2</v>
      </c>
      <c r="P91" s="37" t="n">
        <f aca="false">E91*(1-K91)</f>
        <v>7.2</v>
      </c>
      <c r="Q91" s="37" t="n">
        <f aca="false">O91*P91/10000000</f>
        <v>0.673231104</v>
      </c>
      <c r="R91" s="37" t="n">
        <f aca="false">O91*F91/10000000+IF(Assumptions!$C$6="Downside",Q91*Assumptions!$C$8,0)</f>
        <v>0.406743792</v>
      </c>
      <c r="S91" s="37" t="n">
        <f aca="false">Q91*L91</f>
        <v>0.09425235456</v>
      </c>
      <c r="T91" s="37" t="n">
        <f aca="false">O91*M91/10000000</f>
        <v>0.158957344</v>
      </c>
      <c r="U91" s="37" t="n">
        <f aca="false">Q91-SUM(R91:T91)</f>
        <v>0.0132776134399999</v>
      </c>
      <c r="V91" s="28" t="n">
        <f aca="false">IFERROR(U91/Q91,0)</f>
        <v>0.0197222222222221</v>
      </c>
      <c r="W91" s="25" t="str">
        <f aca="false">Assumptions!F143</f>
        <v>Illustrative (replace with pilot)</v>
      </c>
      <c r="X91" s="25" t="str">
        <f aca="false">Assumptions!C28&amp;" | "&amp;Assumptions!D28</f>
        <v>Ginger-Lemon Hot Drink | 15g single sachet</v>
      </c>
    </row>
    <row r="92" customFormat="false" ht="15" hidden="false" customHeight="false" outlineLevel="0" collapsed="false">
      <c r="A92" s="25" t="str">
        <f aca="false">Assumptions!A144</f>
        <v>FY24</v>
      </c>
      <c r="B92" s="25" t="str">
        <f aca="false">Assumptions!B144</f>
        <v>GIN_T</v>
      </c>
      <c r="C92" s="25" t="str">
        <f aca="false">Assumptions!B28</f>
        <v>Premixes</v>
      </c>
      <c r="D92" s="25" t="str">
        <f aca="false">Assumptions!C144</f>
        <v>QCom</v>
      </c>
      <c r="E92" s="20" t="n">
        <f aca="false">Assumptions!E28*(1+Assumptions!$C$11)^2</f>
        <v>10</v>
      </c>
      <c r="F92" s="20" t="n">
        <f aca="false">Assumptions!F28*(1+Assumptions!$C$12)^2</f>
        <v>4.35</v>
      </c>
      <c r="G92" s="25" t="n">
        <f aca="false">Assumptions!G28</f>
        <v>26</v>
      </c>
      <c r="H92" s="33" t="n">
        <f aca="false">Assumptions!D144</f>
        <v>728</v>
      </c>
      <c r="I92" s="34" t="n">
        <f aca="false">Assumptions!E144</f>
        <v>62.4</v>
      </c>
      <c r="J92" s="35" t="n">
        <f aca="false">Assumptions!$C$13</f>
        <v>0.95</v>
      </c>
      <c r="K92" s="35" t="n">
        <f aca="false">Assumptions!B42</f>
        <v>0.38</v>
      </c>
      <c r="L92" s="35" t="n">
        <f aca="false">Assumptions!C42+IF(Assumptions!$C$6="Downside",Assumptions!$C$9,0)</f>
        <v>0.24</v>
      </c>
      <c r="M92" s="25" t="n">
        <f aca="false">Assumptions!E42</f>
        <v>2</v>
      </c>
      <c r="N92" s="36" t="n">
        <f aca="false">H92*I92*G92*IF(Assumptions!$C$6="Downside",1-Assumptions!$C$7,1)</f>
        <v>1181107.2</v>
      </c>
      <c r="O92" s="36" t="n">
        <f aca="false">N92*J92</f>
        <v>1122051.84</v>
      </c>
      <c r="P92" s="37" t="n">
        <f aca="false">E92*(1-K92)</f>
        <v>6.2</v>
      </c>
      <c r="Q92" s="37" t="n">
        <f aca="false">O92*P92/10000000</f>
        <v>0.6956721408</v>
      </c>
      <c r="R92" s="37" t="n">
        <f aca="false">O92*F92/10000000+IF(Assumptions!$C$6="Downside",Q92*Assumptions!$C$8,0)</f>
        <v>0.4880925504</v>
      </c>
      <c r="S92" s="37" t="n">
        <f aca="false">Q92*L92</f>
        <v>0.166961313792</v>
      </c>
      <c r="T92" s="37" t="n">
        <f aca="false">O92*M92/10000000</f>
        <v>0.224410368</v>
      </c>
      <c r="U92" s="37" t="n">
        <f aca="false">Q92-SUM(R92:T92)</f>
        <v>-0.183792091392</v>
      </c>
      <c r="V92" s="28" t="n">
        <f aca="false">IFERROR(U92/Q92,0)</f>
        <v>-0.264193548387097</v>
      </c>
      <c r="W92" s="25" t="str">
        <f aca="false">Assumptions!F144</f>
        <v>Illustrative (replace with pilot)</v>
      </c>
      <c r="X92" s="25" t="str">
        <f aca="false">Assumptions!C28&amp;" | "&amp;Assumptions!D28</f>
        <v>Ginger-Lemon Hot Drink | 15g single sachet</v>
      </c>
    </row>
    <row r="93" customFormat="false" ht="15" hidden="false" customHeight="false" outlineLevel="0" collapsed="false">
      <c r="A93" s="25" t="str">
        <f aca="false">Assumptions!A145</f>
        <v>FY24</v>
      </c>
      <c r="B93" s="25" t="str">
        <f aca="false">Assumptions!B145</f>
        <v>GIN_L</v>
      </c>
      <c r="C93" s="25" t="str">
        <f aca="false">Assumptions!B29</f>
        <v>Premixes</v>
      </c>
      <c r="D93" s="25" t="str">
        <f aca="false">Assumptions!C145</f>
        <v>GT</v>
      </c>
      <c r="E93" s="20" t="n">
        <f aca="false">Assumptions!E29*(1+Assumptions!$C$11)^2</f>
        <v>99</v>
      </c>
      <c r="F93" s="20" t="n">
        <f aca="false">Assumptions!F29*(1+Assumptions!$C$12)^2</f>
        <v>44</v>
      </c>
      <c r="G93" s="25" t="n">
        <f aca="false">Assumptions!G29</f>
        <v>26</v>
      </c>
      <c r="H93" s="33" t="n">
        <f aca="false">Assumptions!D145</f>
        <v>39000</v>
      </c>
      <c r="I93" s="34" t="n">
        <f aca="false">Assumptions!E145</f>
        <v>4.2</v>
      </c>
      <c r="J93" s="35" t="n">
        <f aca="false">Assumptions!$C$13</f>
        <v>0.95</v>
      </c>
      <c r="K93" s="35" t="n">
        <f aca="false">Assumptions!B40</f>
        <v>0.25</v>
      </c>
      <c r="L93" s="35" t="n">
        <f aca="false">Assumptions!C40+IF(Assumptions!$C$6="Downside",Assumptions!$C$9,0)</f>
        <v>0.065</v>
      </c>
      <c r="M93" s="25" t="n">
        <f aca="false">Assumptions!E40</f>
        <v>1</v>
      </c>
      <c r="N93" s="36" t="n">
        <f aca="false">H93*I93*G93*IF(Assumptions!$C$6="Downside",1-Assumptions!$C$7,1)</f>
        <v>4258800</v>
      </c>
      <c r="O93" s="36" t="n">
        <f aca="false">N93*J93</f>
        <v>4045860</v>
      </c>
      <c r="P93" s="37" t="n">
        <f aca="false">E93*(1-K93)</f>
        <v>74.25</v>
      </c>
      <c r="Q93" s="37" t="n">
        <f aca="false">O93*P93/10000000</f>
        <v>30.0405105</v>
      </c>
      <c r="R93" s="37" t="n">
        <f aca="false">O93*F93/10000000+IF(Assumptions!$C$6="Downside",Q93*Assumptions!$C$8,0)</f>
        <v>17.801784</v>
      </c>
      <c r="S93" s="37" t="n">
        <f aca="false">Q93*L93</f>
        <v>1.9526331825</v>
      </c>
      <c r="T93" s="37" t="n">
        <f aca="false">O93*M93/10000000</f>
        <v>0.404586</v>
      </c>
      <c r="U93" s="37" t="n">
        <f aca="false">Q93-SUM(R93:T93)</f>
        <v>9.8815073175</v>
      </c>
      <c r="V93" s="28" t="n">
        <f aca="false">IFERROR(U93/Q93,0)</f>
        <v>0.328939393939394</v>
      </c>
      <c r="W93" s="25" t="str">
        <f aca="false">Assumptions!F145</f>
        <v>Illustrative (replace with pilot)</v>
      </c>
      <c r="X93" s="25" t="str">
        <f aca="false">Assumptions!C29&amp;" | "&amp;Assumptions!D29</f>
        <v>Ginger-Lemon Hot Drink | 10-sachet pack</v>
      </c>
    </row>
    <row r="94" customFormat="false" ht="15" hidden="false" customHeight="false" outlineLevel="0" collapsed="false">
      <c r="A94" s="25" t="str">
        <f aca="false">Assumptions!A146</f>
        <v>FY24</v>
      </c>
      <c r="B94" s="25" t="str">
        <f aca="false">Assumptions!B146</f>
        <v>GIN_L</v>
      </c>
      <c r="C94" s="25" t="str">
        <f aca="false">Assumptions!B29</f>
        <v>Premixes</v>
      </c>
      <c r="D94" s="25" t="str">
        <f aca="false">Assumptions!C146</f>
        <v>Modern</v>
      </c>
      <c r="E94" s="20" t="n">
        <f aca="false">Assumptions!E29*(1+Assumptions!$C$11)^2</f>
        <v>99</v>
      </c>
      <c r="F94" s="20" t="n">
        <f aca="false">Assumptions!F29*(1+Assumptions!$C$12)^2</f>
        <v>44</v>
      </c>
      <c r="G94" s="25" t="n">
        <f aca="false">Assumptions!G29</f>
        <v>26</v>
      </c>
      <c r="H94" s="33" t="n">
        <f aca="false">Assumptions!D146</f>
        <v>1365</v>
      </c>
      <c r="I94" s="34" t="n">
        <f aca="false">Assumptions!E146</f>
        <v>16.8</v>
      </c>
      <c r="J94" s="35" t="n">
        <f aca="false">Assumptions!$C$13</f>
        <v>0.95</v>
      </c>
      <c r="K94" s="35" t="n">
        <f aca="false">Assumptions!B41</f>
        <v>0.28</v>
      </c>
      <c r="L94" s="35" t="n">
        <f aca="false">Assumptions!C41+IF(Assumptions!$C$6="Downside",Assumptions!$C$9,0)</f>
        <v>0.14</v>
      </c>
      <c r="M94" s="25" t="n">
        <f aca="false">Assumptions!E41</f>
        <v>1.7</v>
      </c>
      <c r="N94" s="36" t="n">
        <f aca="false">H94*I94*G94*IF(Assumptions!$C$6="Downside",1-Assumptions!$C$7,1)</f>
        <v>596232</v>
      </c>
      <c r="O94" s="36" t="n">
        <f aca="false">N94*J94</f>
        <v>566420.4</v>
      </c>
      <c r="P94" s="37" t="n">
        <f aca="false">E94*(1-K94)</f>
        <v>71.28</v>
      </c>
      <c r="Q94" s="37" t="n">
        <f aca="false">O94*P94/10000000</f>
        <v>4.0374446112</v>
      </c>
      <c r="R94" s="37" t="n">
        <f aca="false">O94*F94/10000000+IF(Assumptions!$C$6="Downside",Q94*Assumptions!$C$8,0)</f>
        <v>2.49224976</v>
      </c>
      <c r="S94" s="37" t="n">
        <f aca="false">Q94*L94</f>
        <v>0.565242245568</v>
      </c>
      <c r="T94" s="37" t="n">
        <f aca="false">O94*M94/10000000</f>
        <v>0.096291468</v>
      </c>
      <c r="U94" s="37" t="n">
        <f aca="false">Q94-SUM(R94:T94)</f>
        <v>0.883661137632001</v>
      </c>
      <c r="V94" s="28" t="n">
        <f aca="false">IFERROR(U94/Q94,0)</f>
        <v>0.218866442199776</v>
      </c>
      <c r="W94" s="25" t="str">
        <f aca="false">Assumptions!F146</f>
        <v>Illustrative (replace with pilot)</v>
      </c>
      <c r="X94" s="25" t="str">
        <f aca="false">Assumptions!C29&amp;" | "&amp;Assumptions!D29</f>
        <v>Ginger-Lemon Hot Drink | 10-sachet pack</v>
      </c>
    </row>
    <row r="95" customFormat="false" ht="15" hidden="false" customHeight="false" outlineLevel="0" collapsed="false">
      <c r="A95" s="25" t="str">
        <f aca="false">Assumptions!A147</f>
        <v>FY24</v>
      </c>
      <c r="B95" s="25" t="str">
        <f aca="false">Assumptions!B147</f>
        <v>GIN_L</v>
      </c>
      <c r="C95" s="25" t="str">
        <f aca="false">Assumptions!B29</f>
        <v>Premixes</v>
      </c>
      <c r="D95" s="25" t="str">
        <f aca="false">Assumptions!C147</f>
        <v>QCom</v>
      </c>
      <c r="E95" s="20" t="n">
        <f aca="false">Assumptions!E29*(1+Assumptions!$C$11)^2</f>
        <v>99</v>
      </c>
      <c r="F95" s="20" t="n">
        <f aca="false">Assumptions!F29*(1+Assumptions!$C$12)^2</f>
        <v>44</v>
      </c>
      <c r="G95" s="25" t="n">
        <f aca="false">Assumptions!G29</f>
        <v>26</v>
      </c>
      <c r="H95" s="33" t="n">
        <f aca="false">Assumptions!D147</f>
        <v>546</v>
      </c>
      <c r="I95" s="34" t="n">
        <f aca="false">Assumptions!E147</f>
        <v>50.4</v>
      </c>
      <c r="J95" s="35" t="n">
        <f aca="false">Assumptions!$C$13</f>
        <v>0.95</v>
      </c>
      <c r="K95" s="35" t="n">
        <f aca="false">Assumptions!B42</f>
        <v>0.38</v>
      </c>
      <c r="L95" s="35" t="n">
        <f aca="false">Assumptions!C42+IF(Assumptions!$C$6="Downside",Assumptions!$C$9,0)</f>
        <v>0.24</v>
      </c>
      <c r="M95" s="25" t="n">
        <f aca="false">Assumptions!E42</f>
        <v>2</v>
      </c>
      <c r="N95" s="36" t="n">
        <f aca="false">H95*I95*G95*IF(Assumptions!$C$6="Downside",1-Assumptions!$C$7,1)</f>
        <v>715478.4</v>
      </c>
      <c r="O95" s="36" t="n">
        <f aca="false">N95*J95</f>
        <v>679704.48</v>
      </c>
      <c r="P95" s="37" t="n">
        <f aca="false">E95*(1-K95)</f>
        <v>61.38</v>
      </c>
      <c r="Q95" s="37" t="n">
        <f aca="false">O95*P95/10000000</f>
        <v>4.17202609824</v>
      </c>
      <c r="R95" s="37" t="n">
        <f aca="false">O95*F95/10000000+IF(Assumptions!$C$6="Downside",Q95*Assumptions!$C$8,0)</f>
        <v>2.990699712</v>
      </c>
      <c r="S95" s="37" t="n">
        <f aca="false">Q95*L95</f>
        <v>1.0012862635776</v>
      </c>
      <c r="T95" s="37" t="n">
        <f aca="false">O95*M95/10000000</f>
        <v>0.135940896</v>
      </c>
      <c r="U95" s="37" t="n">
        <f aca="false">Q95-SUM(R95:T95)</f>
        <v>0.0440992266624001</v>
      </c>
      <c r="V95" s="28" t="n">
        <f aca="false">IFERROR(U95/Q95,0)</f>
        <v>0.0105702183121538</v>
      </c>
      <c r="W95" s="25" t="str">
        <f aca="false">Assumptions!F147</f>
        <v>Illustrative (replace with pilot)</v>
      </c>
      <c r="X95" s="25" t="str">
        <f aca="false">Assumptions!C29&amp;" | "&amp;Assumptions!D29</f>
        <v>Ginger-Lemon Hot Drink | 10-sachet pack</v>
      </c>
    </row>
    <row r="96" customFormat="false" ht="15" hidden="false" customHeight="false" outlineLevel="0" collapsed="false">
      <c r="A96" s="25" t="str">
        <f aca="false">Assumptions!A148</f>
        <v>FY24</v>
      </c>
      <c r="B96" s="25" t="str">
        <f aca="false">Assumptions!B148</f>
        <v>BAD_T</v>
      </c>
      <c r="C96" s="25" t="str">
        <f aca="false">Assumptions!B30</f>
        <v>Premixes</v>
      </c>
      <c r="D96" s="25" t="str">
        <f aca="false">Assumptions!C148</f>
        <v>GT</v>
      </c>
      <c r="E96" s="20" t="n">
        <f aca="false">Assumptions!E30*(1+Assumptions!$C$11)^2</f>
        <v>10</v>
      </c>
      <c r="F96" s="20" t="n">
        <f aca="false">Assumptions!F30*(1+Assumptions!$C$12)^2</f>
        <v>4.5</v>
      </c>
      <c r="G96" s="25" t="n">
        <f aca="false">Assumptions!G30</f>
        <v>26</v>
      </c>
      <c r="H96" s="33" t="n">
        <f aca="false">Assumptions!D148</f>
        <v>42000</v>
      </c>
      <c r="I96" s="34" t="n">
        <f aca="false">Assumptions!E148</f>
        <v>3.6</v>
      </c>
      <c r="J96" s="35" t="n">
        <f aca="false">Assumptions!$C$13</f>
        <v>0.95</v>
      </c>
      <c r="K96" s="35" t="n">
        <f aca="false">Assumptions!B40</f>
        <v>0.25</v>
      </c>
      <c r="L96" s="35" t="n">
        <f aca="false">Assumptions!C40+IF(Assumptions!$C$6="Downside",Assumptions!$C$9,0)</f>
        <v>0.065</v>
      </c>
      <c r="M96" s="25" t="n">
        <f aca="false">Assumptions!E40</f>
        <v>1</v>
      </c>
      <c r="N96" s="36" t="n">
        <f aca="false">H96*I96*G96*IF(Assumptions!$C$6="Downside",1-Assumptions!$C$7,1)</f>
        <v>3931200</v>
      </c>
      <c r="O96" s="36" t="n">
        <f aca="false">N96*J96</f>
        <v>3734640</v>
      </c>
      <c r="P96" s="37" t="n">
        <f aca="false">E96*(1-K96)</f>
        <v>7.5</v>
      </c>
      <c r="Q96" s="37" t="n">
        <f aca="false">O96*P96/10000000</f>
        <v>2.80098</v>
      </c>
      <c r="R96" s="37" t="n">
        <f aca="false">O96*F96/10000000+IF(Assumptions!$C$6="Downside",Q96*Assumptions!$C$8,0)</f>
        <v>1.680588</v>
      </c>
      <c r="S96" s="37" t="n">
        <f aca="false">Q96*L96</f>
        <v>0.1820637</v>
      </c>
      <c r="T96" s="37" t="n">
        <f aca="false">O96*M96/10000000</f>
        <v>0.373464</v>
      </c>
      <c r="U96" s="37" t="n">
        <f aca="false">Q96-SUM(R96:T96)</f>
        <v>0.5648643</v>
      </c>
      <c r="V96" s="28" t="n">
        <f aca="false">IFERROR(U96/Q96,0)</f>
        <v>0.201666666666667</v>
      </c>
      <c r="W96" s="25" t="str">
        <f aca="false">Assumptions!F148</f>
        <v>Illustrative (replace with pilot)</v>
      </c>
      <c r="X96" s="25" t="str">
        <f aca="false">Assumptions!C30&amp;" | "&amp;Assumptions!D30</f>
        <v>Badam-Elaichi Milk Mix | 15g single sachet</v>
      </c>
    </row>
    <row r="97" customFormat="false" ht="15" hidden="false" customHeight="false" outlineLevel="0" collapsed="false">
      <c r="A97" s="25" t="str">
        <f aca="false">Assumptions!A149</f>
        <v>FY24</v>
      </c>
      <c r="B97" s="25" t="str">
        <f aca="false">Assumptions!B149</f>
        <v>BAD_T</v>
      </c>
      <c r="C97" s="25" t="str">
        <f aca="false">Assumptions!B30</f>
        <v>Premixes</v>
      </c>
      <c r="D97" s="25" t="str">
        <f aca="false">Assumptions!C149</f>
        <v>Modern</v>
      </c>
      <c r="E97" s="20" t="n">
        <f aca="false">Assumptions!E30*(1+Assumptions!$C$11)^2</f>
        <v>10</v>
      </c>
      <c r="F97" s="20" t="n">
        <f aca="false">Assumptions!F30*(1+Assumptions!$C$12)^2</f>
        <v>4.5</v>
      </c>
      <c r="G97" s="25" t="n">
        <f aca="false">Assumptions!G30</f>
        <v>26</v>
      </c>
      <c r="H97" s="33" t="n">
        <f aca="false">Assumptions!D149</f>
        <v>1470</v>
      </c>
      <c r="I97" s="34" t="n">
        <f aca="false">Assumptions!E149</f>
        <v>14.4</v>
      </c>
      <c r="J97" s="35" t="n">
        <f aca="false">Assumptions!$C$13</f>
        <v>0.95</v>
      </c>
      <c r="K97" s="35" t="n">
        <f aca="false">Assumptions!B41</f>
        <v>0.28</v>
      </c>
      <c r="L97" s="35" t="n">
        <f aca="false">Assumptions!C41+IF(Assumptions!$C$6="Downside",Assumptions!$C$9,0)</f>
        <v>0.14</v>
      </c>
      <c r="M97" s="25" t="n">
        <f aca="false">Assumptions!E41</f>
        <v>1.7</v>
      </c>
      <c r="N97" s="36" t="n">
        <f aca="false">H97*I97*G97*IF(Assumptions!$C$6="Downside",1-Assumptions!$C$7,1)</f>
        <v>550368</v>
      </c>
      <c r="O97" s="36" t="n">
        <f aca="false">N97*J97</f>
        <v>522849.6</v>
      </c>
      <c r="P97" s="37" t="n">
        <f aca="false">E97*(1-K97)</f>
        <v>7.2</v>
      </c>
      <c r="Q97" s="37" t="n">
        <f aca="false">O97*P97/10000000</f>
        <v>0.376451712</v>
      </c>
      <c r="R97" s="37" t="n">
        <f aca="false">O97*F97/10000000+IF(Assumptions!$C$6="Downside",Q97*Assumptions!$C$8,0)</f>
        <v>0.23528232</v>
      </c>
      <c r="S97" s="37" t="n">
        <f aca="false">Q97*L97</f>
        <v>0.05270323968</v>
      </c>
      <c r="T97" s="37" t="n">
        <f aca="false">O97*M97/10000000</f>
        <v>0.088884432</v>
      </c>
      <c r="U97" s="37" t="n">
        <f aca="false">Q97-SUM(R97:T97)</f>
        <v>-0.000418279680000022</v>
      </c>
      <c r="V97" s="28" t="n">
        <f aca="false">IFERROR(U97/Q97,0)</f>
        <v>-0.00111111111111117</v>
      </c>
      <c r="W97" s="25" t="str">
        <f aca="false">Assumptions!F149</f>
        <v>Illustrative (replace with pilot)</v>
      </c>
      <c r="X97" s="25" t="str">
        <f aca="false">Assumptions!C30&amp;" | "&amp;Assumptions!D30</f>
        <v>Badam-Elaichi Milk Mix | 15g single sachet</v>
      </c>
    </row>
    <row r="98" customFormat="false" ht="15" hidden="false" customHeight="false" outlineLevel="0" collapsed="false">
      <c r="A98" s="25" t="str">
        <f aca="false">Assumptions!A150</f>
        <v>FY24</v>
      </c>
      <c r="B98" s="25" t="str">
        <f aca="false">Assumptions!B150</f>
        <v>BAD_T</v>
      </c>
      <c r="C98" s="25" t="str">
        <f aca="false">Assumptions!B30</f>
        <v>Premixes</v>
      </c>
      <c r="D98" s="25" t="str">
        <f aca="false">Assumptions!C150</f>
        <v>QCom</v>
      </c>
      <c r="E98" s="20" t="n">
        <f aca="false">Assumptions!E30*(1+Assumptions!$C$11)^2</f>
        <v>10</v>
      </c>
      <c r="F98" s="20" t="n">
        <f aca="false">Assumptions!F30*(1+Assumptions!$C$12)^2</f>
        <v>4.5</v>
      </c>
      <c r="G98" s="25" t="n">
        <f aca="false">Assumptions!G30</f>
        <v>26</v>
      </c>
      <c r="H98" s="33" t="n">
        <f aca="false">Assumptions!D150</f>
        <v>588</v>
      </c>
      <c r="I98" s="34" t="n">
        <f aca="false">Assumptions!E150</f>
        <v>43.2</v>
      </c>
      <c r="J98" s="35" t="n">
        <f aca="false">Assumptions!$C$13</f>
        <v>0.95</v>
      </c>
      <c r="K98" s="35" t="n">
        <f aca="false">Assumptions!B42</f>
        <v>0.38</v>
      </c>
      <c r="L98" s="35" t="n">
        <f aca="false">Assumptions!C42+IF(Assumptions!$C$6="Downside",Assumptions!$C$9,0)</f>
        <v>0.24</v>
      </c>
      <c r="M98" s="25" t="n">
        <f aca="false">Assumptions!E42</f>
        <v>2</v>
      </c>
      <c r="N98" s="36" t="n">
        <f aca="false">H98*I98*G98*IF(Assumptions!$C$6="Downside",1-Assumptions!$C$7,1)</f>
        <v>660441.6</v>
      </c>
      <c r="O98" s="36" t="n">
        <f aca="false">N98*J98</f>
        <v>627419.52</v>
      </c>
      <c r="P98" s="37" t="n">
        <f aca="false">E98*(1-K98)</f>
        <v>6.2</v>
      </c>
      <c r="Q98" s="37" t="n">
        <f aca="false">O98*P98/10000000</f>
        <v>0.3890001024</v>
      </c>
      <c r="R98" s="37" t="n">
        <f aca="false">O98*F98/10000000+IF(Assumptions!$C$6="Downside",Q98*Assumptions!$C$8,0)</f>
        <v>0.282338784</v>
      </c>
      <c r="S98" s="37" t="n">
        <f aca="false">Q98*L98</f>
        <v>0.093360024576</v>
      </c>
      <c r="T98" s="37" t="n">
        <f aca="false">O98*M98/10000000</f>
        <v>0.125483904</v>
      </c>
      <c r="U98" s="37" t="n">
        <f aca="false">Q98-SUM(R98:T98)</f>
        <v>-0.112182610176</v>
      </c>
      <c r="V98" s="28" t="n">
        <f aca="false">IFERROR(U98/Q98,0)</f>
        <v>-0.288387096774193</v>
      </c>
      <c r="W98" s="25" t="str">
        <f aca="false">Assumptions!F150</f>
        <v>Illustrative (replace with pilot)</v>
      </c>
      <c r="X98" s="25" t="str">
        <f aca="false">Assumptions!C30&amp;" | "&amp;Assumptions!D30</f>
        <v>Badam-Elaichi Milk Mix | 15g single sachet</v>
      </c>
    </row>
    <row r="99" customFormat="false" ht="15" hidden="false" customHeight="false" outlineLevel="0" collapsed="false">
      <c r="A99" s="25" t="str">
        <f aca="false">Assumptions!A151</f>
        <v>FY24</v>
      </c>
      <c r="B99" s="25" t="str">
        <f aca="false">Assumptions!B151</f>
        <v>BAD_L</v>
      </c>
      <c r="C99" s="25" t="str">
        <f aca="false">Assumptions!B31</f>
        <v>Premixes</v>
      </c>
      <c r="D99" s="25" t="str">
        <f aca="false">Assumptions!C151</f>
        <v>GT</v>
      </c>
      <c r="E99" s="20" t="n">
        <f aca="false">Assumptions!E31*(1+Assumptions!$C$11)^2</f>
        <v>99</v>
      </c>
      <c r="F99" s="20" t="n">
        <f aca="false">Assumptions!F31*(1+Assumptions!$C$12)^2</f>
        <v>45.5</v>
      </c>
      <c r="G99" s="25" t="n">
        <f aca="false">Assumptions!G31</f>
        <v>26</v>
      </c>
      <c r="H99" s="33" t="n">
        <f aca="false">Assumptions!D151</f>
        <v>34000</v>
      </c>
      <c r="I99" s="34" t="n">
        <f aca="false">Assumptions!E151</f>
        <v>3.3</v>
      </c>
      <c r="J99" s="35" t="n">
        <f aca="false">Assumptions!$C$13</f>
        <v>0.95</v>
      </c>
      <c r="K99" s="35" t="n">
        <f aca="false">Assumptions!B40</f>
        <v>0.25</v>
      </c>
      <c r="L99" s="35" t="n">
        <f aca="false">Assumptions!C40+IF(Assumptions!$C$6="Downside",Assumptions!$C$9,0)</f>
        <v>0.065</v>
      </c>
      <c r="M99" s="25" t="n">
        <f aca="false">Assumptions!E40</f>
        <v>1</v>
      </c>
      <c r="N99" s="36" t="n">
        <f aca="false">H99*I99*G99*IF(Assumptions!$C$6="Downside",1-Assumptions!$C$7,1)</f>
        <v>2917200</v>
      </c>
      <c r="O99" s="36" t="n">
        <f aca="false">N99*J99</f>
        <v>2771340</v>
      </c>
      <c r="P99" s="37" t="n">
        <f aca="false">E99*(1-K99)</f>
        <v>74.25</v>
      </c>
      <c r="Q99" s="37" t="n">
        <f aca="false">O99*P99/10000000</f>
        <v>20.5771995</v>
      </c>
      <c r="R99" s="37" t="n">
        <f aca="false">O99*F99/10000000+IF(Assumptions!$C$6="Downside",Q99*Assumptions!$C$8,0)</f>
        <v>12.609597</v>
      </c>
      <c r="S99" s="37" t="n">
        <f aca="false">Q99*L99</f>
        <v>1.3375179675</v>
      </c>
      <c r="T99" s="37" t="n">
        <f aca="false">O99*M99/10000000</f>
        <v>0.277134</v>
      </c>
      <c r="U99" s="37" t="n">
        <f aca="false">Q99-SUM(R99:T99)</f>
        <v>6.3529505325</v>
      </c>
      <c r="V99" s="28" t="n">
        <f aca="false">IFERROR(U99/Q99,0)</f>
        <v>0.308737373737374</v>
      </c>
      <c r="W99" s="25" t="str">
        <f aca="false">Assumptions!F151</f>
        <v>Illustrative (replace with pilot)</v>
      </c>
      <c r="X99" s="25" t="str">
        <f aca="false">Assumptions!C31&amp;" | "&amp;Assumptions!D31</f>
        <v>Badam-Elaichi Milk Mix | 150g pouch</v>
      </c>
    </row>
    <row r="100" customFormat="false" ht="15" hidden="false" customHeight="false" outlineLevel="0" collapsed="false">
      <c r="A100" s="25" t="str">
        <f aca="false">Assumptions!A152</f>
        <v>FY24</v>
      </c>
      <c r="B100" s="25" t="str">
        <f aca="false">Assumptions!B152</f>
        <v>BAD_L</v>
      </c>
      <c r="C100" s="25" t="str">
        <f aca="false">Assumptions!B31</f>
        <v>Premixes</v>
      </c>
      <c r="D100" s="25" t="str">
        <f aca="false">Assumptions!C152</f>
        <v>Modern</v>
      </c>
      <c r="E100" s="20" t="n">
        <f aca="false">Assumptions!E31*(1+Assumptions!$C$11)^2</f>
        <v>99</v>
      </c>
      <c r="F100" s="20" t="n">
        <f aca="false">Assumptions!F31*(1+Assumptions!$C$12)^2</f>
        <v>45.5</v>
      </c>
      <c r="G100" s="25" t="n">
        <f aca="false">Assumptions!G31</f>
        <v>26</v>
      </c>
      <c r="H100" s="33" t="n">
        <f aca="false">Assumptions!D152</f>
        <v>1190</v>
      </c>
      <c r="I100" s="34" t="n">
        <f aca="false">Assumptions!E152</f>
        <v>13.2</v>
      </c>
      <c r="J100" s="35" t="n">
        <f aca="false">Assumptions!$C$13</f>
        <v>0.95</v>
      </c>
      <c r="K100" s="35" t="n">
        <f aca="false">Assumptions!B41</f>
        <v>0.28</v>
      </c>
      <c r="L100" s="35" t="n">
        <f aca="false">Assumptions!C41+IF(Assumptions!$C$6="Downside",Assumptions!$C$9,0)</f>
        <v>0.14</v>
      </c>
      <c r="M100" s="25" t="n">
        <f aca="false">Assumptions!E41</f>
        <v>1.7</v>
      </c>
      <c r="N100" s="36" t="n">
        <f aca="false">H100*I100*G100*IF(Assumptions!$C$6="Downside",1-Assumptions!$C$7,1)</f>
        <v>408408</v>
      </c>
      <c r="O100" s="36" t="n">
        <f aca="false">N100*J100</f>
        <v>387987.6</v>
      </c>
      <c r="P100" s="37" t="n">
        <f aca="false">E100*(1-K100)</f>
        <v>71.28</v>
      </c>
      <c r="Q100" s="37" t="n">
        <f aca="false">O100*P100/10000000</f>
        <v>2.7655756128</v>
      </c>
      <c r="R100" s="37" t="n">
        <f aca="false">O100*F100/10000000+IF(Assumptions!$C$6="Downside",Q100*Assumptions!$C$8,0)</f>
        <v>1.76534358</v>
      </c>
      <c r="S100" s="37" t="n">
        <f aca="false">Q100*L100</f>
        <v>0.387180585792</v>
      </c>
      <c r="T100" s="37" t="n">
        <f aca="false">O100*M100/10000000</f>
        <v>0.065957892</v>
      </c>
      <c r="U100" s="37" t="n">
        <f aca="false">Q100-SUM(R100:T100)</f>
        <v>0.547093555007999</v>
      </c>
      <c r="V100" s="28" t="n">
        <f aca="false">IFERROR(U100/Q100,0)</f>
        <v>0.197822671156004</v>
      </c>
      <c r="W100" s="25" t="str">
        <f aca="false">Assumptions!F152</f>
        <v>Illustrative (replace with pilot)</v>
      </c>
      <c r="X100" s="25" t="str">
        <f aca="false">Assumptions!C31&amp;" | "&amp;Assumptions!D31</f>
        <v>Badam-Elaichi Milk Mix | 150g pouch</v>
      </c>
    </row>
    <row r="101" customFormat="false" ht="15" hidden="false" customHeight="false" outlineLevel="0" collapsed="false">
      <c r="A101" s="25" t="str">
        <f aca="false">Assumptions!A153</f>
        <v>FY24</v>
      </c>
      <c r="B101" s="25" t="str">
        <f aca="false">Assumptions!B153</f>
        <v>BAD_L</v>
      </c>
      <c r="C101" s="25" t="str">
        <f aca="false">Assumptions!B31</f>
        <v>Premixes</v>
      </c>
      <c r="D101" s="25" t="str">
        <f aca="false">Assumptions!C153</f>
        <v>QCom</v>
      </c>
      <c r="E101" s="20" t="n">
        <f aca="false">Assumptions!E31*(1+Assumptions!$C$11)^2</f>
        <v>99</v>
      </c>
      <c r="F101" s="20" t="n">
        <f aca="false">Assumptions!F31*(1+Assumptions!$C$12)^2</f>
        <v>45.5</v>
      </c>
      <c r="G101" s="25" t="n">
        <f aca="false">Assumptions!G31</f>
        <v>26</v>
      </c>
      <c r="H101" s="33" t="n">
        <f aca="false">Assumptions!D153</f>
        <v>476</v>
      </c>
      <c r="I101" s="34" t="n">
        <f aca="false">Assumptions!E153</f>
        <v>39.6</v>
      </c>
      <c r="J101" s="35" t="n">
        <f aca="false">Assumptions!$C$13</f>
        <v>0.95</v>
      </c>
      <c r="K101" s="35" t="n">
        <f aca="false">Assumptions!B42</f>
        <v>0.38</v>
      </c>
      <c r="L101" s="35" t="n">
        <f aca="false">Assumptions!C42+IF(Assumptions!$C$6="Downside",Assumptions!$C$9,0)</f>
        <v>0.24</v>
      </c>
      <c r="M101" s="25" t="n">
        <f aca="false">Assumptions!E42</f>
        <v>2</v>
      </c>
      <c r="N101" s="36" t="n">
        <f aca="false">H101*I101*G101*IF(Assumptions!$C$6="Downside",1-Assumptions!$C$7,1)</f>
        <v>490089.6</v>
      </c>
      <c r="O101" s="36" t="n">
        <f aca="false">N101*J101</f>
        <v>465585.12</v>
      </c>
      <c r="P101" s="37" t="n">
        <f aca="false">E101*(1-K101)</f>
        <v>61.38</v>
      </c>
      <c r="Q101" s="37" t="n">
        <f aca="false">O101*P101/10000000</f>
        <v>2.85776146656</v>
      </c>
      <c r="R101" s="37" t="n">
        <f aca="false">O101*F101/10000000+IF(Assumptions!$C$6="Downside",Q101*Assumptions!$C$8,0)</f>
        <v>2.118412296</v>
      </c>
      <c r="S101" s="37" t="n">
        <f aca="false">Q101*L101</f>
        <v>0.6858627519744</v>
      </c>
      <c r="T101" s="37" t="n">
        <f aca="false">O101*M101/10000000</f>
        <v>0.093117024</v>
      </c>
      <c r="U101" s="37" t="n">
        <f aca="false">Q101-SUM(R101:T101)</f>
        <v>-0.0396306054144002</v>
      </c>
      <c r="V101" s="28" t="n">
        <f aca="false">IFERROR(U101/Q101,0)</f>
        <v>-0.0138677093515804</v>
      </c>
      <c r="W101" s="25" t="str">
        <f aca="false">Assumptions!F153</f>
        <v>Illustrative (replace with pilot)</v>
      </c>
      <c r="X101" s="25" t="str">
        <f aca="false">Assumptions!C31&amp;" | "&amp;Assumptions!D31</f>
        <v>Badam-Elaichi Milk Mix | 150g pouch</v>
      </c>
    </row>
    <row r="102" customFormat="false" ht="15" hidden="false" customHeight="false" outlineLevel="0" collapsed="false">
      <c r="A102" s="25" t="str">
        <f aca="false">Assumptions!A154</f>
        <v>FY24</v>
      </c>
      <c r="B102" s="25" t="str">
        <f aca="false">Assumptions!B154</f>
        <v>CHU_T</v>
      </c>
      <c r="C102" s="25" t="str">
        <f aca="false">Assumptions!B32</f>
        <v>Condiments</v>
      </c>
      <c r="D102" s="25" t="str">
        <f aca="false">Assumptions!C154</f>
        <v>GT</v>
      </c>
      <c r="E102" s="20" t="n">
        <f aca="false">Assumptions!E32*(1+Assumptions!$C$11)^2</f>
        <v>10</v>
      </c>
      <c r="F102" s="20" t="n">
        <f aca="false">Assumptions!F32*(1+Assumptions!$C$12)^2</f>
        <v>4.8</v>
      </c>
      <c r="G102" s="25" t="n">
        <f aca="false">Assumptions!G32</f>
        <v>52</v>
      </c>
      <c r="H102" s="33" t="n">
        <f aca="false">Assumptions!D154</f>
        <v>43000</v>
      </c>
      <c r="I102" s="34" t="n">
        <f aca="false">Assumptions!E154</f>
        <v>2.9</v>
      </c>
      <c r="J102" s="35" t="n">
        <f aca="false">Assumptions!$C$13</f>
        <v>0.95</v>
      </c>
      <c r="K102" s="35" t="n">
        <f aca="false">Assumptions!B40</f>
        <v>0.25</v>
      </c>
      <c r="L102" s="35" t="n">
        <f aca="false">Assumptions!C40+IF(Assumptions!$C$6="Downside",Assumptions!$C$9,0)</f>
        <v>0.065</v>
      </c>
      <c r="M102" s="25" t="n">
        <f aca="false">Assumptions!E40</f>
        <v>1</v>
      </c>
      <c r="N102" s="36" t="n">
        <f aca="false">H102*I102*G102*IF(Assumptions!$C$6="Downside",1-Assumptions!$C$7,1)</f>
        <v>6484400</v>
      </c>
      <c r="O102" s="36" t="n">
        <f aca="false">N102*J102</f>
        <v>6160180</v>
      </c>
      <c r="P102" s="37" t="n">
        <f aca="false">E102*(1-K102)</f>
        <v>7.5</v>
      </c>
      <c r="Q102" s="37" t="n">
        <f aca="false">O102*P102/10000000</f>
        <v>4.620135</v>
      </c>
      <c r="R102" s="37" t="n">
        <f aca="false">O102*F102/10000000+IF(Assumptions!$C$6="Downside",Q102*Assumptions!$C$8,0)</f>
        <v>2.9568864</v>
      </c>
      <c r="S102" s="37" t="n">
        <f aca="false">Q102*L102</f>
        <v>0.300308775</v>
      </c>
      <c r="T102" s="37" t="n">
        <f aca="false">O102*M102/10000000</f>
        <v>0.616018</v>
      </c>
      <c r="U102" s="37" t="n">
        <f aca="false">Q102-SUM(R102:T102)</f>
        <v>0.746921825</v>
      </c>
      <c r="V102" s="28" t="n">
        <f aca="false">IFERROR(U102/Q102,0)</f>
        <v>0.161666666666667</v>
      </c>
      <c r="W102" s="25" t="str">
        <f aca="false">Assumptions!F154</f>
        <v>Illustrative (replace with pilot)</v>
      </c>
      <c r="X102" s="25" t="str">
        <f aca="false">Assumptions!C32&amp;" | "&amp;Assumptions!D32</f>
        <v>Tamarind-Date Chutney | 20g sachet</v>
      </c>
    </row>
    <row r="103" customFormat="false" ht="15" hidden="false" customHeight="false" outlineLevel="0" collapsed="false">
      <c r="A103" s="25" t="str">
        <f aca="false">Assumptions!A155</f>
        <v>FY24</v>
      </c>
      <c r="B103" s="25" t="str">
        <f aca="false">Assumptions!B155</f>
        <v>CHU_T</v>
      </c>
      <c r="C103" s="25" t="str">
        <f aca="false">Assumptions!B32</f>
        <v>Condiments</v>
      </c>
      <c r="D103" s="25" t="str">
        <f aca="false">Assumptions!C155</f>
        <v>Modern</v>
      </c>
      <c r="E103" s="20" t="n">
        <f aca="false">Assumptions!E32*(1+Assumptions!$C$11)^2</f>
        <v>10</v>
      </c>
      <c r="F103" s="20" t="n">
        <f aca="false">Assumptions!F32*(1+Assumptions!$C$12)^2</f>
        <v>4.8</v>
      </c>
      <c r="G103" s="25" t="n">
        <f aca="false">Assumptions!G32</f>
        <v>52</v>
      </c>
      <c r="H103" s="33" t="n">
        <f aca="false">Assumptions!D155</f>
        <v>1505</v>
      </c>
      <c r="I103" s="34" t="n">
        <f aca="false">Assumptions!E155</f>
        <v>11.6</v>
      </c>
      <c r="J103" s="35" t="n">
        <f aca="false">Assumptions!$C$13</f>
        <v>0.95</v>
      </c>
      <c r="K103" s="35" t="n">
        <f aca="false">Assumptions!B41</f>
        <v>0.28</v>
      </c>
      <c r="L103" s="35" t="n">
        <f aca="false">Assumptions!C41+IF(Assumptions!$C$6="Downside",Assumptions!$C$9,0)</f>
        <v>0.14</v>
      </c>
      <c r="M103" s="25" t="n">
        <f aca="false">Assumptions!E41</f>
        <v>1.7</v>
      </c>
      <c r="N103" s="36" t="n">
        <f aca="false">H103*I103*G103*IF(Assumptions!$C$6="Downside",1-Assumptions!$C$7,1)</f>
        <v>907816</v>
      </c>
      <c r="O103" s="36" t="n">
        <f aca="false">N103*J103</f>
        <v>862425.2</v>
      </c>
      <c r="P103" s="37" t="n">
        <f aca="false">E103*(1-K103)</f>
        <v>7.2</v>
      </c>
      <c r="Q103" s="37" t="n">
        <f aca="false">O103*P103/10000000</f>
        <v>0.620946144</v>
      </c>
      <c r="R103" s="37" t="n">
        <f aca="false">O103*F103/10000000+IF(Assumptions!$C$6="Downside",Q103*Assumptions!$C$8,0)</f>
        <v>0.413964096</v>
      </c>
      <c r="S103" s="37" t="n">
        <f aca="false">Q103*L103</f>
        <v>0.08693246016</v>
      </c>
      <c r="T103" s="37" t="n">
        <f aca="false">O103*M103/10000000</f>
        <v>0.146612284</v>
      </c>
      <c r="U103" s="37" t="n">
        <f aca="false">Q103-SUM(R103:T103)</f>
        <v>-0.0265626961600001</v>
      </c>
      <c r="V103" s="28" t="n">
        <f aca="false">IFERROR(U103/Q103,0)</f>
        <v>-0.0427777777777779</v>
      </c>
      <c r="W103" s="25" t="str">
        <f aca="false">Assumptions!F155</f>
        <v>Illustrative (replace with pilot)</v>
      </c>
      <c r="X103" s="25" t="str">
        <f aca="false">Assumptions!C32&amp;" | "&amp;Assumptions!D32</f>
        <v>Tamarind-Date Chutney | 20g sachet</v>
      </c>
    </row>
    <row r="104" customFormat="false" ht="15" hidden="false" customHeight="false" outlineLevel="0" collapsed="false">
      <c r="A104" s="25" t="str">
        <f aca="false">Assumptions!A156</f>
        <v>FY24</v>
      </c>
      <c r="B104" s="25" t="str">
        <f aca="false">Assumptions!B156</f>
        <v>CHU_T</v>
      </c>
      <c r="C104" s="25" t="str">
        <f aca="false">Assumptions!B32</f>
        <v>Condiments</v>
      </c>
      <c r="D104" s="25" t="str">
        <f aca="false">Assumptions!C156</f>
        <v>QCom</v>
      </c>
      <c r="E104" s="20" t="n">
        <f aca="false">Assumptions!E32*(1+Assumptions!$C$11)^2</f>
        <v>10</v>
      </c>
      <c r="F104" s="20" t="n">
        <f aca="false">Assumptions!F32*(1+Assumptions!$C$12)^2</f>
        <v>4.8</v>
      </c>
      <c r="G104" s="25" t="n">
        <f aca="false">Assumptions!G32</f>
        <v>52</v>
      </c>
      <c r="H104" s="33" t="n">
        <f aca="false">Assumptions!D156</f>
        <v>602</v>
      </c>
      <c r="I104" s="34" t="n">
        <f aca="false">Assumptions!E156</f>
        <v>34.8</v>
      </c>
      <c r="J104" s="35" t="n">
        <f aca="false">Assumptions!$C$13</f>
        <v>0.95</v>
      </c>
      <c r="K104" s="35" t="n">
        <f aca="false">Assumptions!B42</f>
        <v>0.38</v>
      </c>
      <c r="L104" s="35" t="n">
        <f aca="false">Assumptions!C42+IF(Assumptions!$C$6="Downside",Assumptions!$C$9,0)</f>
        <v>0.24</v>
      </c>
      <c r="M104" s="25" t="n">
        <f aca="false">Assumptions!E42</f>
        <v>2</v>
      </c>
      <c r="N104" s="36" t="n">
        <f aca="false">H104*I104*G104*IF(Assumptions!$C$6="Downside",1-Assumptions!$C$7,1)</f>
        <v>1089379.2</v>
      </c>
      <c r="O104" s="36" t="n">
        <f aca="false">N104*J104</f>
        <v>1034910.24</v>
      </c>
      <c r="P104" s="37" t="n">
        <f aca="false">E104*(1-K104)</f>
        <v>6.2</v>
      </c>
      <c r="Q104" s="37" t="n">
        <f aca="false">O104*P104/10000000</f>
        <v>0.6416443488</v>
      </c>
      <c r="R104" s="37" t="n">
        <f aca="false">O104*F104/10000000+IF(Assumptions!$C$6="Downside",Q104*Assumptions!$C$8,0)</f>
        <v>0.4967569152</v>
      </c>
      <c r="S104" s="37" t="n">
        <f aca="false">Q104*L104</f>
        <v>0.153994643712</v>
      </c>
      <c r="T104" s="37" t="n">
        <f aca="false">O104*M104/10000000</f>
        <v>0.206982048</v>
      </c>
      <c r="U104" s="37" t="n">
        <f aca="false">Q104-SUM(R104:T104)</f>
        <v>-0.216089258112</v>
      </c>
      <c r="V104" s="28" t="n">
        <f aca="false">IFERROR(U104/Q104,0)</f>
        <v>-0.336774193548387</v>
      </c>
      <c r="W104" s="25" t="str">
        <f aca="false">Assumptions!F156</f>
        <v>Illustrative (replace with pilot)</v>
      </c>
      <c r="X104" s="25" t="str">
        <f aca="false">Assumptions!C32&amp;" | "&amp;Assumptions!D32</f>
        <v>Tamarind-Date Chutney | 20g sachet</v>
      </c>
    </row>
    <row r="105" customFormat="false" ht="15" hidden="false" customHeight="false" outlineLevel="0" collapsed="false">
      <c r="A105" s="25" t="str">
        <f aca="false">Assumptions!A157</f>
        <v>FY24</v>
      </c>
      <c r="B105" s="25" t="str">
        <f aca="false">Assumptions!B157</f>
        <v>CHU_L</v>
      </c>
      <c r="C105" s="25" t="str">
        <f aca="false">Assumptions!B33</f>
        <v>Condiments</v>
      </c>
      <c r="D105" s="25" t="str">
        <f aca="false">Assumptions!C157</f>
        <v>GT</v>
      </c>
      <c r="E105" s="20" t="n">
        <f aca="false">Assumptions!E33*(1+Assumptions!$C$11)^2</f>
        <v>99</v>
      </c>
      <c r="F105" s="20" t="n">
        <f aca="false">Assumptions!F33*(1+Assumptions!$C$12)^2</f>
        <v>47</v>
      </c>
      <c r="G105" s="25" t="n">
        <f aca="false">Assumptions!G33</f>
        <v>52</v>
      </c>
      <c r="H105" s="33" t="n">
        <f aca="false">Assumptions!D157</f>
        <v>33000</v>
      </c>
      <c r="I105" s="34" t="n">
        <f aca="false">Assumptions!E157</f>
        <v>2.2</v>
      </c>
      <c r="J105" s="35" t="n">
        <f aca="false">Assumptions!$C$13</f>
        <v>0.95</v>
      </c>
      <c r="K105" s="35" t="n">
        <f aca="false">Assumptions!B40</f>
        <v>0.25</v>
      </c>
      <c r="L105" s="35" t="n">
        <f aca="false">Assumptions!C40+IF(Assumptions!$C$6="Downside",Assumptions!$C$9,0)</f>
        <v>0.065</v>
      </c>
      <c r="M105" s="25" t="n">
        <f aca="false">Assumptions!E40</f>
        <v>1</v>
      </c>
      <c r="N105" s="36" t="n">
        <f aca="false">H105*I105*G105*IF(Assumptions!$C$6="Downside",1-Assumptions!$C$7,1)</f>
        <v>3775200</v>
      </c>
      <c r="O105" s="36" t="n">
        <f aca="false">N105*J105</f>
        <v>3586440</v>
      </c>
      <c r="P105" s="37" t="n">
        <f aca="false">E105*(1-K105)</f>
        <v>74.25</v>
      </c>
      <c r="Q105" s="37" t="n">
        <f aca="false">O105*P105/10000000</f>
        <v>26.629317</v>
      </c>
      <c r="R105" s="37" t="n">
        <f aca="false">O105*F105/10000000+IF(Assumptions!$C$6="Downside",Q105*Assumptions!$C$8,0)</f>
        <v>16.856268</v>
      </c>
      <c r="S105" s="37" t="n">
        <f aca="false">Q105*L105</f>
        <v>1.730905605</v>
      </c>
      <c r="T105" s="37" t="n">
        <f aca="false">O105*M105/10000000</f>
        <v>0.358644</v>
      </c>
      <c r="U105" s="37" t="n">
        <f aca="false">Q105-SUM(R105:T105)</f>
        <v>7.683499395</v>
      </c>
      <c r="V105" s="28" t="n">
        <f aca="false">IFERROR(U105/Q105,0)</f>
        <v>0.288535353535354</v>
      </c>
      <c r="W105" s="25" t="str">
        <f aca="false">Assumptions!F157</f>
        <v>Illustrative (replace with pilot)</v>
      </c>
      <c r="X105" s="25" t="str">
        <f aca="false">Assumptions!C33&amp;" | "&amp;Assumptions!D33</f>
        <v>Tamarind-Date Chutney | 200g pack</v>
      </c>
    </row>
    <row r="106" customFormat="false" ht="15" hidden="false" customHeight="false" outlineLevel="0" collapsed="false">
      <c r="A106" s="25" t="str">
        <f aca="false">Assumptions!A158</f>
        <v>FY24</v>
      </c>
      <c r="B106" s="25" t="str">
        <f aca="false">Assumptions!B158</f>
        <v>CHU_L</v>
      </c>
      <c r="C106" s="25" t="str">
        <f aca="false">Assumptions!B33</f>
        <v>Condiments</v>
      </c>
      <c r="D106" s="25" t="str">
        <f aca="false">Assumptions!C158</f>
        <v>Modern</v>
      </c>
      <c r="E106" s="20" t="n">
        <f aca="false">Assumptions!E33*(1+Assumptions!$C$11)^2</f>
        <v>99</v>
      </c>
      <c r="F106" s="20" t="n">
        <f aca="false">Assumptions!F33*(1+Assumptions!$C$12)^2</f>
        <v>47</v>
      </c>
      <c r="G106" s="25" t="n">
        <f aca="false">Assumptions!G33</f>
        <v>52</v>
      </c>
      <c r="H106" s="33" t="n">
        <f aca="false">Assumptions!D158</f>
        <v>1155</v>
      </c>
      <c r="I106" s="34" t="n">
        <f aca="false">Assumptions!E158</f>
        <v>8.8</v>
      </c>
      <c r="J106" s="35" t="n">
        <f aca="false">Assumptions!$C$13</f>
        <v>0.95</v>
      </c>
      <c r="K106" s="35" t="n">
        <f aca="false">Assumptions!B41</f>
        <v>0.28</v>
      </c>
      <c r="L106" s="35" t="n">
        <f aca="false">Assumptions!C41+IF(Assumptions!$C$6="Downside",Assumptions!$C$9,0)</f>
        <v>0.14</v>
      </c>
      <c r="M106" s="25" t="n">
        <f aca="false">Assumptions!E41</f>
        <v>1.7</v>
      </c>
      <c r="N106" s="36" t="n">
        <f aca="false">H106*I106*G106*IF(Assumptions!$C$6="Downside",1-Assumptions!$C$7,1)</f>
        <v>528528</v>
      </c>
      <c r="O106" s="36" t="n">
        <f aca="false">N106*J106</f>
        <v>502101.6</v>
      </c>
      <c r="P106" s="37" t="n">
        <f aca="false">E106*(1-K106)</f>
        <v>71.28</v>
      </c>
      <c r="Q106" s="37" t="n">
        <f aca="false">O106*P106/10000000</f>
        <v>3.5789802048</v>
      </c>
      <c r="R106" s="37" t="n">
        <f aca="false">O106*F106/10000000+IF(Assumptions!$C$6="Downside",Q106*Assumptions!$C$8,0)</f>
        <v>2.35987752</v>
      </c>
      <c r="S106" s="37" t="n">
        <f aca="false">Q106*L106</f>
        <v>0.501057228672</v>
      </c>
      <c r="T106" s="37" t="n">
        <f aca="false">O106*M106/10000000</f>
        <v>0.085357272</v>
      </c>
      <c r="U106" s="37" t="n">
        <f aca="false">Q106-SUM(R106:T106)</f>
        <v>0.632688184128</v>
      </c>
      <c r="V106" s="28" t="n">
        <f aca="false">IFERROR(U106/Q106,0)</f>
        <v>0.176778900112233</v>
      </c>
      <c r="W106" s="25" t="str">
        <f aca="false">Assumptions!F158</f>
        <v>Illustrative (replace with pilot)</v>
      </c>
      <c r="X106" s="25" t="str">
        <f aca="false">Assumptions!C33&amp;" | "&amp;Assumptions!D33</f>
        <v>Tamarind-Date Chutney | 200g pack</v>
      </c>
    </row>
    <row r="107" customFormat="false" ht="15" hidden="false" customHeight="false" outlineLevel="0" collapsed="false">
      <c r="A107" s="25" t="str">
        <f aca="false">Assumptions!A159</f>
        <v>FY24</v>
      </c>
      <c r="B107" s="25" t="str">
        <f aca="false">Assumptions!B159</f>
        <v>CHU_L</v>
      </c>
      <c r="C107" s="25" t="str">
        <f aca="false">Assumptions!B33</f>
        <v>Condiments</v>
      </c>
      <c r="D107" s="25" t="str">
        <f aca="false">Assumptions!C159</f>
        <v>QCom</v>
      </c>
      <c r="E107" s="20" t="n">
        <f aca="false">Assumptions!E33*(1+Assumptions!$C$11)^2</f>
        <v>99</v>
      </c>
      <c r="F107" s="20" t="n">
        <f aca="false">Assumptions!F33*(1+Assumptions!$C$12)^2</f>
        <v>47</v>
      </c>
      <c r="G107" s="25" t="n">
        <f aca="false">Assumptions!G33</f>
        <v>52</v>
      </c>
      <c r="H107" s="33" t="n">
        <f aca="false">Assumptions!D159</f>
        <v>462</v>
      </c>
      <c r="I107" s="34" t="n">
        <f aca="false">Assumptions!E159</f>
        <v>26.4</v>
      </c>
      <c r="J107" s="35" t="n">
        <f aca="false">Assumptions!$C$13</f>
        <v>0.95</v>
      </c>
      <c r="K107" s="35" t="n">
        <f aca="false">Assumptions!B42</f>
        <v>0.38</v>
      </c>
      <c r="L107" s="35" t="n">
        <f aca="false">Assumptions!C42+IF(Assumptions!$C$6="Downside",Assumptions!$C$9,0)</f>
        <v>0.24</v>
      </c>
      <c r="M107" s="25" t="n">
        <f aca="false">Assumptions!E42</f>
        <v>2</v>
      </c>
      <c r="N107" s="36" t="n">
        <f aca="false">H107*I107*G107*IF(Assumptions!$C$6="Downside",1-Assumptions!$C$7,1)</f>
        <v>634233.6</v>
      </c>
      <c r="O107" s="36" t="n">
        <f aca="false">N107*J107</f>
        <v>602521.92</v>
      </c>
      <c r="P107" s="37" t="n">
        <f aca="false">E107*(1-K107)</f>
        <v>61.38</v>
      </c>
      <c r="Q107" s="37" t="n">
        <f aca="false">O107*P107/10000000</f>
        <v>3.69827954496</v>
      </c>
      <c r="R107" s="37" t="n">
        <f aca="false">O107*F107/10000000+IF(Assumptions!$C$6="Downside",Q107*Assumptions!$C$8,0)</f>
        <v>2.831853024</v>
      </c>
      <c r="S107" s="37" t="n">
        <f aca="false">Q107*L107</f>
        <v>0.8875870907904</v>
      </c>
      <c r="T107" s="37" t="n">
        <f aca="false">O107*M107/10000000</f>
        <v>0.120504384</v>
      </c>
      <c r="U107" s="37" t="n">
        <f aca="false">Q107-SUM(R107:T107)</f>
        <v>-0.1416649538304</v>
      </c>
      <c r="V107" s="28" t="n">
        <f aca="false">IFERROR(U107/Q107,0)</f>
        <v>-0.0383056370153144</v>
      </c>
      <c r="W107" s="25" t="str">
        <f aca="false">Assumptions!F159</f>
        <v>Illustrative (replace with pilot)</v>
      </c>
      <c r="X107" s="25" t="str">
        <f aca="false">Assumptions!C33&amp;" | "&amp;Assumptions!D33</f>
        <v>Tamarind-Date Chutney | 200g pack</v>
      </c>
    </row>
    <row r="108" customFormat="false" ht="15" hidden="false" customHeight="false" outlineLevel="0" collapsed="false">
      <c r="A108" s="25" t="str">
        <f aca="false">Assumptions!A160</f>
        <v>FY24</v>
      </c>
      <c r="B108" s="25" t="str">
        <f aca="false">Assumptions!B160</f>
        <v>PIC_T</v>
      </c>
      <c r="C108" s="25" t="str">
        <f aca="false">Assumptions!B34</f>
        <v>Condiments</v>
      </c>
      <c r="D108" s="25" t="str">
        <f aca="false">Assumptions!C160</f>
        <v>GT</v>
      </c>
      <c r="E108" s="20" t="n">
        <f aca="false">Assumptions!E34*(1+Assumptions!$C$11)^2</f>
        <v>10</v>
      </c>
      <c r="F108" s="20" t="n">
        <f aca="false">Assumptions!F34*(1+Assumptions!$C$12)^2</f>
        <v>4.7</v>
      </c>
      <c r="G108" s="25" t="n">
        <f aca="false">Assumptions!G34</f>
        <v>52</v>
      </c>
      <c r="H108" s="33" t="n">
        <f aca="false">Assumptions!D160</f>
        <v>42000</v>
      </c>
      <c r="I108" s="34" t="n">
        <f aca="false">Assumptions!E160</f>
        <v>2.7</v>
      </c>
      <c r="J108" s="35" t="n">
        <f aca="false">Assumptions!$C$13</f>
        <v>0.95</v>
      </c>
      <c r="K108" s="35" t="n">
        <f aca="false">Assumptions!B40</f>
        <v>0.25</v>
      </c>
      <c r="L108" s="35" t="n">
        <f aca="false">Assumptions!C40+IF(Assumptions!$C$6="Downside",Assumptions!$C$9,0)</f>
        <v>0.065</v>
      </c>
      <c r="M108" s="25" t="n">
        <f aca="false">Assumptions!E40</f>
        <v>1</v>
      </c>
      <c r="N108" s="36" t="n">
        <f aca="false">H108*I108*G108*IF(Assumptions!$C$6="Downside",1-Assumptions!$C$7,1)</f>
        <v>5896800</v>
      </c>
      <c r="O108" s="36" t="n">
        <f aca="false">N108*J108</f>
        <v>5601960</v>
      </c>
      <c r="P108" s="37" t="n">
        <f aca="false">E108*(1-K108)</f>
        <v>7.5</v>
      </c>
      <c r="Q108" s="37" t="n">
        <f aca="false">O108*P108/10000000</f>
        <v>4.20147</v>
      </c>
      <c r="R108" s="37" t="n">
        <f aca="false">O108*F108/10000000+IF(Assumptions!$C$6="Downside",Q108*Assumptions!$C$8,0)</f>
        <v>2.6329212</v>
      </c>
      <c r="S108" s="37" t="n">
        <f aca="false">Q108*L108</f>
        <v>0.27309555</v>
      </c>
      <c r="T108" s="37" t="n">
        <f aca="false">O108*M108/10000000</f>
        <v>0.560196</v>
      </c>
      <c r="U108" s="37" t="n">
        <f aca="false">Q108-SUM(R108:T108)</f>
        <v>0.73525725</v>
      </c>
      <c r="V108" s="28" t="n">
        <f aca="false">IFERROR(U108/Q108,0)</f>
        <v>0.175</v>
      </c>
      <c r="W108" s="25" t="str">
        <f aca="false">Assumptions!F160</f>
        <v>Illustrative (replace with pilot)</v>
      </c>
      <c r="X108" s="25" t="str">
        <f aca="false">Assumptions!C34&amp;" | "&amp;Assumptions!D34</f>
        <v>Lime Pickle | 20g sachet</v>
      </c>
    </row>
    <row r="109" customFormat="false" ht="15" hidden="false" customHeight="false" outlineLevel="0" collapsed="false">
      <c r="A109" s="25" t="str">
        <f aca="false">Assumptions!A161</f>
        <v>FY24</v>
      </c>
      <c r="B109" s="25" t="str">
        <f aca="false">Assumptions!B161</f>
        <v>PIC_T</v>
      </c>
      <c r="C109" s="25" t="str">
        <f aca="false">Assumptions!B34</f>
        <v>Condiments</v>
      </c>
      <c r="D109" s="25" t="str">
        <f aca="false">Assumptions!C161</f>
        <v>Modern</v>
      </c>
      <c r="E109" s="20" t="n">
        <f aca="false">Assumptions!E34*(1+Assumptions!$C$11)^2</f>
        <v>10</v>
      </c>
      <c r="F109" s="20" t="n">
        <f aca="false">Assumptions!F34*(1+Assumptions!$C$12)^2</f>
        <v>4.7</v>
      </c>
      <c r="G109" s="25" t="n">
        <f aca="false">Assumptions!G34</f>
        <v>52</v>
      </c>
      <c r="H109" s="33" t="n">
        <f aca="false">Assumptions!D161</f>
        <v>1470</v>
      </c>
      <c r="I109" s="34" t="n">
        <f aca="false">Assumptions!E161</f>
        <v>10.8</v>
      </c>
      <c r="J109" s="35" t="n">
        <f aca="false">Assumptions!$C$13</f>
        <v>0.95</v>
      </c>
      <c r="K109" s="35" t="n">
        <f aca="false">Assumptions!B41</f>
        <v>0.28</v>
      </c>
      <c r="L109" s="35" t="n">
        <f aca="false">Assumptions!C41+IF(Assumptions!$C$6="Downside",Assumptions!$C$9,0)</f>
        <v>0.14</v>
      </c>
      <c r="M109" s="25" t="n">
        <f aca="false">Assumptions!E41</f>
        <v>1.7</v>
      </c>
      <c r="N109" s="36" t="n">
        <f aca="false">H109*I109*G109*IF(Assumptions!$C$6="Downside",1-Assumptions!$C$7,1)</f>
        <v>825552</v>
      </c>
      <c r="O109" s="36" t="n">
        <f aca="false">N109*J109</f>
        <v>784274.4</v>
      </c>
      <c r="P109" s="37" t="n">
        <f aca="false">E109*(1-K109)</f>
        <v>7.2</v>
      </c>
      <c r="Q109" s="37" t="n">
        <f aca="false">O109*P109/10000000</f>
        <v>0.564677568</v>
      </c>
      <c r="R109" s="37" t="n">
        <f aca="false">O109*F109/10000000+IF(Assumptions!$C$6="Downside",Q109*Assumptions!$C$8,0)</f>
        <v>0.368608968</v>
      </c>
      <c r="S109" s="37" t="n">
        <f aca="false">Q109*L109</f>
        <v>0.07905485952</v>
      </c>
      <c r="T109" s="37" t="n">
        <f aca="false">O109*M109/10000000</f>
        <v>0.133326648</v>
      </c>
      <c r="U109" s="37" t="n">
        <f aca="false">Q109-SUM(R109:T109)</f>
        <v>-0.01631290752</v>
      </c>
      <c r="V109" s="28" t="n">
        <f aca="false">IFERROR(U109/Q109,0)</f>
        <v>-0.0288888888888889</v>
      </c>
      <c r="W109" s="25" t="str">
        <f aca="false">Assumptions!F161</f>
        <v>Illustrative (replace with pilot)</v>
      </c>
      <c r="X109" s="25" t="str">
        <f aca="false">Assumptions!C34&amp;" | "&amp;Assumptions!D34</f>
        <v>Lime Pickle | 20g sachet</v>
      </c>
    </row>
    <row r="110" customFormat="false" ht="15" hidden="false" customHeight="false" outlineLevel="0" collapsed="false">
      <c r="A110" s="25" t="str">
        <f aca="false">Assumptions!A162</f>
        <v>FY24</v>
      </c>
      <c r="B110" s="25" t="str">
        <f aca="false">Assumptions!B162</f>
        <v>PIC_T</v>
      </c>
      <c r="C110" s="25" t="str">
        <f aca="false">Assumptions!B34</f>
        <v>Condiments</v>
      </c>
      <c r="D110" s="25" t="str">
        <f aca="false">Assumptions!C162</f>
        <v>QCom</v>
      </c>
      <c r="E110" s="20" t="n">
        <f aca="false">Assumptions!E34*(1+Assumptions!$C$11)^2</f>
        <v>10</v>
      </c>
      <c r="F110" s="20" t="n">
        <f aca="false">Assumptions!F34*(1+Assumptions!$C$12)^2</f>
        <v>4.7</v>
      </c>
      <c r="G110" s="25" t="n">
        <f aca="false">Assumptions!G34</f>
        <v>52</v>
      </c>
      <c r="H110" s="33" t="n">
        <f aca="false">Assumptions!D162</f>
        <v>588</v>
      </c>
      <c r="I110" s="34" t="n">
        <f aca="false">Assumptions!E162</f>
        <v>32.4</v>
      </c>
      <c r="J110" s="35" t="n">
        <f aca="false">Assumptions!$C$13</f>
        <v>0.95</v>
      </c>
      <c r="K110" s="35" t="n">
        <f aca="false">Assumptions!B42</f>
        <v>0.38</v>
      </c>
      <c r="L110" s="35" t="n">
        <f aca="false">Assumptions!C42+IF(Assumptions!$C$6="Downside",Assumptions!$C$9,0)</f>
        <v>0.24</v>
      </c>
      <c r="M110" s="25" t="n">
        <f aca="false">Assumptions!E42</f>
        <v>2</v>
      </c>
      <c r="N110" s="36" t="n">
        <f aca="false">H110*I110*G110*IF(Assumptions!$C$6="Downside",1-Assumptions!$C$7,1)</f>
        <v>990662.4</v>
      </c>
      <c r="O110" s="36" t="n">
        <f aca="false">N110*J110</f>
        <v>941129.28</v>
      </c>
      <c r="P110" s="37" t="n">
        <f aca="false">E110*(1-K110)</f>
        <v>6.2</v>
      </c>
      <c r="Q110" s="37" t="n">
        <f aca="false">O110*P110/10000000</f>
        <v>0.5835001536</v>
      </c>
      <c r="R110" s="37" t="n">
        <f aca="false">O110*F110/10000000+IF(Assumptions!$C$6="Downside",Q110*Assumptions!$C$8,0)</f>
        <v>0.4423307616</v>
      </c>
      <c r="S110" s="37" t="n">
        <f aca="false">Q110*L110</f>
        <v>0.140040036864</v>
      </c>
      <c r="T110" s="37" t="n">
        <f aca="false">O110*M110/10000000</f>
        <v>0.188225856</v>
      </c>
      <c r="U110" s="37" t="n">
        <f aca="false">Q110-SUM(R110:T110)</f>
        <v>-0.187096500864</v>
      </c>
      <c r="V110" s="28" t="n">
        <f aca="false">IFERROR(U110/Q110,0)</f>
        <v>-0.320645161290323</v>
      </c>
      <c r="W110" s="25" t="str">
        <f aca="false">Assumptions!F162</f>
        <v>Illustrative (replace with pilot)</v>
      </c>
      <c r="X110" s="25" t="str">
        <f aca="false">Assumptions!C34&amp;" | "&amp;Assumptions!D34</f>
        <v>Lime Pickle | 20g sachet</v>
      </c>
    </row>
    <row r="111" customFormat="false" ht="15" hidden="false" customHeight="false" outlineLevel="0" collapsed="false">
      <c r="A111" s="25" t="str">
        <f aca="false">Assumptions!A163</f>
        <v>FY24</v>
      </c>
      <c r="B111" s="25" t="str">
        <f aca="false">Assumptions!B163</f>
        <v>PIC_L</v>
      </c>
      <c r="C111" s="25" t="str">
        <f aca="false">Assumptions!B35</f>
        <v>Condiments</v>
      </c>
      <c r="D111" s="25" t="str">
        <f aca="false">Assumptions!C163</f>
        <v>GT</v>
      </c>
      <c r="E111" s="20" t="n">
        <f aca="false">Assumptions!E35*(1+Assumptions!$C$11)^2</f>
        <v>99</v>
      </c>
      <c r="F111" s="20" t="n">
        <f aca="false">Assumptions!F35*(1+Assumptions!$C$12)^2</f>
        <v>46.5</v>
      </c>
      <c r="G111" s="25" t="n">
        <f aca="false">Assumptions!G35</f>
        <v>52</v>
      </c>
      <c r="H111" s="33" t="n">
        <f aca="false">Assumptions!D163</f>
        <v>37000</v>
      </c>
      <c r="I111" s="34" t="n">
        <f aca="false">Assumptions!E163</f>
        <v>2.2</v>
      </c>
      <c r="J111" s="35" t="n">
        <f aca="false">Assumptions!$C$13</f>
        <v>0.95</v>
      </c>
      <c r="K111" s="35" t="n">
        <f aca="false">Assumptions!B40</f>
        <v>0.25</v>
      </c>
      <c r="L111" s="35" t="n">
        <f aca="false">Assumptions!C40+IF(Assumptions!$C$6="Downside",Assumptions!$C$9,0)</f>
        <v>0.065</v>
      </c>
      <c r="M111" s="25" t="n">
        <f aca="false">Assumptions!E40</f>
        <v>1</v>
      </c>
      <c r="N111" s="36" t="n">
        <f aca="false">H111*I111*G111*IF(Assumptions!$C$6="Downside",1-Assumptions!$C$7,1)</f>
        <v>4232800</v>
      </c>
      <c r="O111" s="36" t="n">
        <f aca="false">N111*J111</f>
        <v>4021160</v>
      </c>
      <c r="P111" s="37" t="n">
        <f aca="false">E111*(1-K111)</f>
        <v>74.25</v>
      </c>
      <c r="Q111" s="37" t="n">
        <f aca="false">O111*P111/10000000</f>
        <v>29.857113</v>
      </c>
      <c r="R111" s="37" t="n">
        <f aca="false">O111*F111/10000000+IF(Assumptions!$C$6="Downside",Q111*Assumptions!$C$8,0)</f>
        <v>18.698394</v>
      </c>
      <c r="S111" s="37" t="n">
        <f aca="false">Q111*L111</f>
        <v>1.940712345</v>
      </c>
      <c r="T111" s="37" t="n">
        <f aca="false">O111*M111/10000000</f>
        <v>0.402116</v>
      </c>
      <c r="U111" s="37" t="n">
        <f aca="false">Q111-SUM(R111:T111)</f>
        <v>8.815890655</v>
      </c>
      <c r="V111" s="28" t="n">
        <f aca="false">IFERROR(U111/Q111,0)</f>
        <v>0.29526936026936</v>
      </c>
      <c r="W111" s="25" t="str">
        <f aca="false">Assumptions!F163</f>
        <v>Illustrative (replace with pilot)</v>
      </c>
      <c r="X111" s="25" t="str">
        <f aca="false">Assumptions!C35&amp;" | "&amp;Assumptions!D35</f>
        <v>Lime Pickle | 200g pack</v>
      </c>
    </row>
    <row r="112" customFormat="false" ht="15" hidden="false" customHeight="false" outlineLevel="0" collapsed="false">
      <c r="A112" s="25" t="str">
        <f aca="false">Assumptions!A164</f>
        <v>FY24</v>
      </c>
      <c r="B112" s="25" t="str">
        <f aca="false">Assumptions!B164</f>
        <v>PIC_L</v>
      </c>
      <c r="C112" s="25" t="str">
        <f aca="false">Assumptions!B35</f>
        <v>Condiments</v>
      </c>
      <c r="D112" s="25" t="str">
        <f aca="false">Assumptions!C164</f>
        <v>Modern</v>
      </c>
      <c r="E112" s="20" t="n">
        <f aca="false">Assumptions!E35*(1+Assumptions!$C$11)^2</f>
        <v>99</v>
      </c>
      <c r="F112" s="20" t="n">
        <f aca="false">Assumptions!F35*(1+Assumptions!$C$12)^2</f>
        <v>46.5</v>
      </c>
      <c r="G112" s="25" t="n">
        <f aca="false">Assumptions!G35</f>
        <v>52</v>
      </c>
      <c r="H112" s="33" t="n">
        <f aca="false">Assumptions!D164</f>
        <v>1295</v>
      </c>
      <c r="I112" s="34" t="n">
        <f aca="false">Assumptions!E164</f>
        <v>8.8</v>
      </c>
      <c r="J112" s="35" t="n">
        <f aca="false">Assumptions!$C$13</f>
        <v>0.95</v>
      </c>
      <c r="K112" s="35" t="n">
        <f aca="false">Assumptions!B41</f>
        <v>0.28</v>
      </c>
      <c r="L112" s="35" t="n">
        <f aca="false">Assumptions!C41+IF(Assumptions!$C$6="Downside",Assumptions!$C$9,0)</f>
        <v>0.14</v>
      </c>
      <c r="M112" s="25" t="n">
        <f aca="false">Assumptions!E41</f>
        <v>1.7</v>
      </c>
      <c r="N112" s="36" t="n">
        <f aca="false">H112*I112*G112*IF(Assumptions!$C$6="Downside",1-Assumptions!$C$7,1)</f>
        <v>592592</v>
      </c>
      <c r="O112" s="36" t="n">
        <f aca="false">N112*J112</f>
        <v>562962.4</v>
      </c>
      <c r="P112" s="37" t="n">
        <f aca="false">E112*(1-K112)</f>
        <v>71.28</v>
      </c>
      <c r="Q112" s="37" t="n">
        <f aca="false">O112*P112/10000000</f>
        <v>4.0127959872</v>
      </c>
      <c r="R112" s="37" t="n">
        <f aca="false">O112*F112/10000000+IF(Assumptions!$C$6="Downside",Q112*Assumptions!$C$8,0)</f>
        <v>2.61777516</v>
      </c>
      <c r="S112" s="37" t="n">
        <f aca="false">Q112*L112</f>
        <v>0.561791438208</v>
      </c>
      <c r="T112" s="37" t="n">
        <f aca="false">O112*M112/10000000</f>
        <v>0.095703608</v>
      </c>
      <c r="U112" s="37" t="n">
        <f aca="false">Q112-SUM(R112:T112)</f>
        <v>0.737525780992</v>
      </c>
      <c r="V112" s="28" t="n">
        <f aca="false">IFERROR(U112/Q112,0)</f>
        <v>0.183793490460157</v>
      </c>
      <c r="W112" s="25" t="str">
        <f aca="false">Assumptions!F164</f>
        <v>Illustrative (replace with pilot)</v>
      </c>
      <c r="X112" s="25" t="str">
        <f aca="false">Assumptions!C35&amp;" | "&amp;Assumptions!D35</f>
        <v>Lime Pickle | 200g pack</v>
      </c>
    </row>
    <row r="113" customFormat="false" ht="15" hidden="false" customHeight="false" outlineLevel="0" collapsed="false">
      <c r="A113" s="25" t="str">
        <f aca="false">Assumptions!A165</f>
        <v>FY24</v>
      </c>
      <c r="B113" s="25" t="str">
        <f aca="false">Assumptions!B165</f>
        <v>PIC_L</v>
      </c>
      <c r="C113" s="25" t="str">
        <f aca="false">Assumptions!B35</f>
        <v>Condiments</v>
      </c>
      <c r="D113" s="25" t="str">
        <f aca="false">Assumptions!C165</f>
        <v>QCom</v>
      </c>
      <c r="E113" s="20" t="n">
        <f aca="false">Assumptions!E35*(1+Assumptions!$C$11)^2</f>
        <v>99</v>
      </c>
      <c r="F113" s="20" t="n">
        <f aca="false">Assumptions!F35*(1+Assumptions!$C$12)^2</f>
        <v>46.5</v>
      </c>
      <c r="G113" s="25" t="n">
        <f aca="false">Assumptions!G35</f>
        <v>52</v>
      </c>
      <c r="H113" s="33" t="n">
        <f aca="false">Assumptions!D165</f>
        <v>518</v>
      </c>
      <c r="I113" s="34" t="n">
        <f aca="false">Assumptions!E165</f>
        <v>26.4</v>
      </c>
      <c r="J113" s="35" t="n">
        <f aca="false">Assumptions!$C$13</f>
        <v>0.95</v>
      </c>
      <c r="K113" s="35" t="n">
        <f aca="false">Assumptions!B42</f>
        <v>0.38</v>
      </c>
      <c r="L113" s="35" t="n">
        <f aca="false">Assumptions!C42+IF(Assumptions!$C$6="Downside",Assumptions!$C$9,0)</f>
        <v>0.24</v>
      </c>
      <c r="M113" s="25" t="n">
        <f aca="false">Assumptions!E42</f>
        <v>2</v>
      </c>
      <c r="N113" s="36" t="n">
        <f aca="false">H113*I113*G113*IF(Assumptions!$C$6="Downside",1-Assumptions!$C$7,1)</f>
        <v>711110.4</v>
      </c>
      <c r="O113" s="36" t="n">
        <f aca="false">N113*J113</f>
        <v>675554.88</v>
      </c>
      <c r="P113" s="37" t="n">
        <f aca="false">E113*(1-K113)</f>
        <v>61.38</v>
      </c>
      <c r="Q113" s="37" t="n">
        <f aca="false">O113*P113/10000000</f>
        <v>4.14655585344</v>
      </c>
      <c r="R113" s="37" t="n">
        <f aca="false">O113*F113/10000000+IF(Assumptions!$C$6="Downside",Q113*Assumptions!$C$8,0)</f>
        <v>3.141330192</v>
      </c>
      <c r="S113" s="37" t="n">
        <f aca="false">Q113*L113</f>
        <v>0.9951734048256</v>
      </c>
      <c r="T113" s="37" t="n">
        <f aca="false">O113*M113/10000000</f>
        <v>0.135110976</v>
      </c>
      <c r="U113" s="37" t="n">
        <f aca="false">Q113-SUM(R113:T113)</f>
        <v>-0.125058719385599</v>
      </c>
      <c r="V113" s="28" t="n">
        <f aca="false">IFERROR(U113/Q113,0)</f>
        <v>-0.0301596611274029</v>
      </c>
      <c r="W113" s="25" t="str">
        <f aca="false">Assumptions!F165</f>
        <v>Illustrative (replace with pilot)</v>
      </c>
      <c r="X113" s="25" t="str">
        <f aca="false">Assumptions!C35&amp;" | "&amp;Assumptions!D35</f>
        <v>Lime Pickle | 200g pack</v>
      </c>
    </row>
  </sheetData>
  <mergeCells count="2">
    <mergeCell ref="A1:X1"/>
    <mergeCell ref="A3:X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1"/>
    <col collapsed="false" customWidth="true" hidden="false" outlineLevel="0" max="5" min="2" style="0" width="20"/>
  </cols>
  <sheetData>
    <row r="1" customFormat="false" ht="36" hidden="false" customHeight="true" outlineLevel="0" collapsed="false">
      <c r="A1" s="1" t="s">
        <v>312</v>
      </c>
      <c r="B1" s="1"/>
      <c r="C1" s="1"/>
      <c r="D1" s="1"/>
      <c r="E1" s="1"/>
      <c r="F1" s="1"/>
      <c r="G1" s="1"/>
      <c r="H1" s="1"/>
    </row>
    <row r="5" customFormat="false" ht="24.75" hidden="false" customHeight="true" outlineLevel="0" collapsed="false">
      <c r="A5" s="16" t="s">
        <v>313</v>
      </c>
      <c r="B5" s="16" t="s">
        <v>314</v>
      </c>
      <c r="C5" s="16" t="s">
        <v>87</v>
      </c>
      <c r="D5" s="16" t="s">
        <v>78</v>
      </c>
      <c r="E5" s="16" t="s">
        <v>79</v>
      </c>
    </row>
    <row r="6" customFormat="false" ht="15" hidden="false" customHeight="false" outlineLevel="0" collapsed="false">
      <c r="A6" s="0" t="s">
        <v>195</v>
      </c>
      <c r="B6" s="20" t="n">
        <f aca="false">Assumptions!F6</f>
        <v>560</v>
      </c>
      <c r="C6" s="20" t="n">
        <f aca="false">Assumptions!B17</f>
        <v>580</v>
      </c>
      <c r="D6" s="20" t="n">
        <f aca="false">Assumptions!C17</f>
        <v>605</v>
      </c>
      <c r="E6" s="20" t="n">
        <f aca="false">Assumptions!D17</f>
        <v>630</v>
      </c>
    </row>
    <row r="7" customFormat="false" ht="15" hidden="false" customHeight="false" outlineLevel="0" collapsed="false">
      <c r="A7" s="0" t="s">
        <v>315</v>
      </c>
      <c r="B7" s="37"/>
      <c r="C7" s="20" t="n">
        <f aca="false">SUMIFS(SKU_Channel_Model!$Q$6:$Q$113,SKU_Channel_Model!$A$6:$A$113,"FY22",SKU_Channel_Model!$C$6:$C$113,"Spices")</f>
        <v>17.71186240512</v>
      </c>
      <c r="D7" s="20" t="n">
        <f aca="false">SUMIFS(SKU_Channel_Model!$Q$6:$Q$113,SKU_Channel_Model!$A$6:$A$113,"FY23",SKU_Channel_Model!$C$6:$C$113,"Spices")</f>
        <v>90.92962733088</v>
      </c>
      <c r="E7" s="20" t="n">
        <f aca="false">SUMIFS(SKU_Channel_Model!$Q$6:$Q$113,SKU_Channel_Model!$A$6:$A$113,"FY24",SKU_Channel_Model!$C$6:$C$113,"Spices")</f>
        <v>184.4826488544</v>
      </c>
    </row>
    <row r="8" customFormat="false" ht="15" hidden="false" customHeight="false" outlineLevel="0" collapsed="false">
      <c r="A8" s="0" t="s">
        <v>316</v>
      </c>
      <c r="B8" s="37"/>
      <c r="C8" s="20" t="n">
        <f aca="false">SUMIFS(SKU_Channel_Model!$Q$6:$Q$113,SKU_Channel_Model!$A$6:$A$113,"FY22",SKU_Channel_Model!$C$6:$C$113,"Premixes")</f>
        <v>7.138044677088</v>
      </c>
      <c r="D8" s="20" t="n">
        <f aca="false">SUMIFS(SKU_Channel_Model!$Q$6:$Q$113,SKU_Channel_Model!$A$6:$A$113,"FY23",SKU_Channel_Model!$C$6:$C$113,"Premixes")</f>
        <v>36.668845774054</v>
      </c>
      <c r="E8" s="20" t="n">
        <f aca="false">SUMIFS(SKU_Channel_Model!$Q$6:$Q$113,SKU_Channel_Model!$A$6:$A$113,"FY24",SKU_Channel_Model!$C$6:$C$113,"Premixes")</f>
        <v>74.395012848</v>
      </c>
    </row>
    <row r="9" customFormat="false" ht="15" hidden="false" customHeight="false" outlineLevel="0" collapsed="false">
      <c r="A9" s="0" t="s">
        <v>317</v>
      </c>
      <c r="B9" s="37"/>
      <c r="C9" s="20" t="n">
        <f aca="false">SUMIFS(SKU_Channel_Model!$Q$6:$Q$113,SKU_Channel_Model!$A$6:$A$113,"FY22",SKU_Channel_Model!$C$6:$C$113,"Condiments")</f>
        <v>7.983631551168</v>
      </c>
      <c r="D9" s="20" t="n">
        <f aca="false">SUMIFS(SKU_Channel_Model!$Q$6:$Q$113,SKU_Channel_Model!$A$6:$A$113,"FY23",SKU_Channel_Model!$C$6:$C$113,"Condiments")</f>
        <v>41.03687606902</v>
      </c>
      <c r="E9" s="20" t="n">
        <f aca="false">SUMIFS(SKU_Channel_Model!$Q$6:$Q$113,SKU_Channel_Model!$A$6:$A$113,"FY24",SKU_Channel_Model!$C$6:$C$113,"Condiments")</f>
        <v>83.1554148048</v>
      </c>
    </row>
    <row r="10" customFormat="false" ht="15" hidden="false" customHeight="false" outlineLevel="0" collapsed="false">
      <c r="A10" s="17" t="s">
        <v>318</v>
      </c>
      <c r="B10" s="18" t="n">
        <f aca="false">Assumptions!F6*Assumptions!F7</f>
        <v>23.52</v>
      </c>
      <c r="C10" s="23" t="n">
        <f aca="false">SUM(C7:C9)</f>
        <v>32.833538633376</v>
      </c>
      <c r="D10" s="23" t="n">
        <f aca="false">SUM(D7:D9)</f>
        <v>168.635349173954</v>
      </c>
      <c r="E10" s="23" t="n">
        <f aca="false">SUM(E7:E9)</f>
        <v>342.0330765072</v>
      </c>
    </row>
    <row r="11" customFormat="false" ht="15" hidden="false" customHeight="false" outlineLevel="0" collapsed="false">
      <c r="A11" s="17" t="s">
        <v>319</v>
      </c>
      <c r="B11" s="23" t="n">
        <f aca="false">B6</f>
        <v>560</v>
      </c>
      <c r="C11" s="23" t="n">
        <f aca="false">SUM(C6,C10)</f>
        <v>612.833538633376</v>
      </c>
      <c r="D11" s="23" t="n">
        <f aca="false">SUM(D6,D10)</f>
        <v>773.635349173954</v>
      </c>
      <c r="E11" s="23" t="n">
        <f aca="false">SUM(E6,E10)</f>
        <v>972.0330765072</v>
      </c>
    </row>
    <row r="12" customFormat="false" ht="15" hidden="false" customHeight="false" outlineLevel="0" collapsed="false">
      <c r="A12" s="17" t="s">
        <v>320</v>
      </c>
      <c r="B12" s="19" t="n">
        <f aca="false">Assumptions!F7</f>
        <v>0.042</v>
      </c>
      <c r="C12" s="24" t="n">
        <f aca="false">IFERROR(C10/C11,0)</f>
        <v>0.053576602068149</v>
      </c>
      <c r="D12" s="24" t="n">
        <f aca="false">IFERROR(D10/D11,0)</f>
        <v>0.21797782295498</v>
      </c>
      <c r="E12" s="24" t="n">
        <f aca="false">IFERROR(E10/E11,0)</f>
        <v>0.351873907147507</v>
      </c>
    </row>
    <row r="13" customFormat="false" ht="15" hidden="false" customHeight="false" outlineLevel="0" collapsed="false">
      <c r="A13" s="0" t="s">
        <v>321</v>
      </c>
      <c r="B13" s="38" t="n">
        <f aca="false">Assumptions!C7*0</f>
        <v>0</v>
      </c>
      <c r="C13" s="35" t="n">
        <f aca="false">IFERROR(C11/Assumptions!F6-1,0)</f>
        <v>0.0943456047024571</v>
      </c>
      <c r="D13" s="38" t="n">
        <f aca="false">IFERROR(D11/C11-1,0)</f>
        <v>0.262390682630013</v>
      </c>
      <c r="E13" s="38" t="n">
        <f aca="false">IFERROR(E11/D11-1,0)</f>
        <v>0.256448632479222</v>
      </c>
    </row>
    <row r="14" customFormat="false" ht="15" hidden="false" customHeight="false" outlineLevel="0" collapsed="false">
      <c r="A14" s="0" t="s">
        <v>322</v>
      </c>
      <c r="B14" s="28"/>
      <c r="C14" s="35" t="n">
        <f aca="false">Assumptions!F12</f>
        <v>0.3</v>
      </c>
      <c r="D14" s="35" t="n">
        <f aca="false">Assumptions!F12</f>
        <v>0.3</v>
      </c>
      <c r="E14" s="35" t="n">
        <f aca="false">Assumptions!F12</f>
        <v>0.3</v>
      </c>
    </row>
    <row r="15" customFormat="false" ht="15" hidden="false" customHeight="false" outlineLevel="0" collapsed="false">
      <c r="A15" s="0" t="s">
        <v>323</v>
      </c>
      <c r="B15" s="37"/>
      <c r="C15" s="20" t="n">
        <f aca="false">IF(C$5="FY24",Assumptions!F11,0)</f>
        <v>0</v>
      </c>
      <c r="D15" s="20" t="n">
        <f aca="false">IF(D$5="FY24",Assumptions!F11,0)</f>
        <v>0</v>
      </c>
      <c r="E15" s="20" t="n">
        <f aca="false">IF(E$5="FY24",Assumptions!F11,0)</f>
        <v>900</v>
      </c>
    </row>
    <row r="16" customFormat="false" ht="15" hidden="false" customHeight="false" outlineLevel="0" collapsed="false">
      <c r="A16" s="0" t="s">
        <v>324</v>
      </c>
      <c r="B16" s="37"/>
      <c r="C16" s="39" t="n">
        <f aca="false">IF(C$5="FY24",C11-C15,0)</f>
        <v>0</v>
      </c>
      <c r="D16" s="39" t="n">
        <f aca="false">IF(D$5="FY24",D11-D15,0)</f>
        <v>0</v>
      </c>
      <c r="E16" s="39" t="n">
        <f aca="false">IF(E$5="FY24",E11-E15,0)</f>
        <v>72.0330765072</v>
      </c>
    </row>
    <row r="17" customFormat="false" ht="15" hidden="false" customHeight="false" outlineLevel="0" collapsed="false">
      <c r="A17" s="0" t="s">
        <v>325</v>
      </c>
      <c r="B17" s="37"/>
      <c r="C17" s="38" t="n">
        <f aca="false">IF(C$5="FY24",C12-C14,0)</f>
        <v>0</v>
      </c>
      <c r="D17" s="38" t="n">
        <f aca="false">IF(D$5="FY24",D12-D14,0)</f>
        <v>0</v>
      </c>
      <c r="E17" s="38" t="n">
        <f aca="false">IF(E$5="FY24",E12-E14,0)</f>
        <v>0.051873907147507</v>
      </c>
    </row>
    <row r="18" customFormat="false" ht="15" hidden="false" customHeight="false" outlineLevel="0" collapsed="false">
      <c r="A18" s="0" t="s">
        <v>326</v>
      </c>
      <c r="B18" s="37"/>
      <c r="C18" s="20" t="n">
        <f aca="false">Assumptions!B18</f>
        <v>10</v>
      </c>
      <c r="D18" s="20" t="n">
        <f aca="false">Assumptions!C18</f>
        <v>70</v>
      </c>
      <c r="E18" s="20" t="n">
        <f aca="false">Assumptions!D18</f>
        <v>135</v>
      </c>
    </row>
    <row r="19" customFormat="false" ht="15" hidden="false" customHeight="false" outlineLevel="0" collapsed="false">
      <c r="A19" s="0" t="s">
        <v>327</v>
      </c>
      <c r="B19" s="37"/>
      <c r="C19" s="20" t="n">
        <f aca="false">Assumptions!B19</f>
        <v>8</v>
      </c>
      <c r="D19" s="20" t="n">
        <f aca="false">Assumptions!C19</f>
        <v>40</v>
      </c>
      <c r="E19" s="20" t="n">
        <f aca="false">Assumptions!D19</f>
        <v>75</v>
      </c>
    </row>
    <row r="20" customFormat="false" ht="15" hidden="false" customHeight="false" outlineLevel="0" collapsed="false">
      <c r="A20" s="0" t="s">
        <v>328</v>
      </c>
      <c r="B20" s="37"/>
      <c r="C20" s="20" t="n">
        <f aca="false">Assumptions!B20</f>
        <v>2</v>
      </c>
      <c r="D20" s="20" t="n">
        <f aca="false">Assumptions!C20</f>
        <v>25</v>
      </c>
      <c r="E20" s="20" t="n">
        <f aca="false">Assumptions!D20</f>
        <v>60</v>
      </c>
    </row>
    <row r="21" customFormat="false" ht="15" hidden="false" customHeight="false" outlineLevel="0" collapsed="false">
      <c r="A21" s="0" t="s">
        <v>329</v>
      </c>
      <c r="B21" s="37"/>
      <c r="C21" s="39" t="n">
        <f aca="false">C7-C18</f>
        <v>7.71186240512</v>
      </c>
      <c r="D21" s="39" t="n">
        <f aca="false">D7-D18</f>
        <v>20.92962733088</v>
      </c>
      <c r="E21" s="39" t="n">
        <f aca="false">E7-E18</f>
        <v>49.4826488544</v>
      </c>
    </row>
    <row r="22" customFormat="false" ht="15" hidden="false" customHeight="false" outlineLevel="0" collapsed="false">
      <c r="A22" s="0" t="s">
        <v>330</v>
      </c>
      <c r="B22" s="37"/>
      <c r="C22" s="39" t="n">
        <f aca="false">C8-C19</f>
        <v>-0.861955322912</v>
      </c>
      <c r="D22" s="39" t="n">
        <f aca="false">D8-D19</f>
        <v>-3.331154225946</v>
      </c>
      <c r="E22" s="39" t="n">
        <f aca="false">E8-E19</f>
        <v>-0.604987152000007</v>
      </c>
    </row>
    <row r="23" customFormat="false" ht="15" hidden="false" customHeight="false" outlineLevel="0" collapsed="false">
      <c r="A23" s="0" t="s">
        <v>331</v>
      </c>
      <c r="B23" s="37"/>
      <c r="C23" s="39" t="n">
        <f aca="false">C9-C20</f>
        <v>5.983631551168</v>
      </c>
      <c r="D23" s="39" t="n">
        <f aca="false">D9-D20</f>
        <v>16.03687606902</v>
      </c>
      <c r="E23" s="39" t="n">
        <f aca="false">E9-E20</f>
        <v>23.1554148048</v>
      </c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9"/>
    <col collapsed="false" customWidth="true" hidden="false" outlineLevel="0" max="4" min="2" style="0" width="19"/>
  </cols>
  <sheetData>
    <row r="1" customFormat="false" ht="36" hidden="false" customHeight="true" outlineLevel="0" collapsed="false">
      <c r="A1" s="1" t="s">
        <v>332</v>
      </c>
      <c r="B1" s="1"/>
      <c r="C1" s="1"/>
      <c r="D1" s="1"/>
      <c r="E1" s="1"/>
      <c r="F1" s="1"/>
      <c r="G1" s="1"/>
      <c r="H1" s="1"/>
    </row>
    <row r="5" customFormat="false" ht="24.75" hidden="false" customHeight="true" outlineLevel="0" collapsed="false">
      <c r="A5" s="16" t="s">
        <v>333</v>
      </c>
      <c r="B5" s="16" t="s">
        <v>87</v>
      </c>
      <c r="C5" s="16" t="s">
        <v>78</v>
      </c>
      <c r="D5" s="16" t="s">
        <v>79</v>
      </c>
    </row>
    <row r="6" customFormat="false" ht="15" hidden="false" customHeight="false" outlineLevel="0" collapsed="false">
      <c r="A6" s="0" t="s">
        <v>334</v>
      </c>
      <c r="B6" s="20" t="n">
        <f aca="false">SUMIFS(SKU_Channel_Model!$Q$6:$Q$113,SKU_Channel_Model!$A$6:$A$113,"FY22")</f>
        <v>32.833538633376</v>
      </c>
      <c r="C6" s="20" t="n">
        <f aca="false">SUMIFS(SKU_Channel_Model!$Q$6:$Q$113,SKU_Channel_Model!$A$6:$A$113,"FY23")</f>
        <v>168.635349173954</v>
      </c>
      <c r="D6" s="20" t="n">
        <f aca="false">SUMIFS(SKU_Channel_Model!$Q$6:$Q$113,SKU_Channel_Model!$A$6:$A$113,"FY24")</f>
        <v>342.0330765072</v>
      </c>
    </row>
    <row r="7" customFormat="false" ht="15" hidden="false" customHeight="false" outlineLevel="0" collapsed="false">
      <c r="A7" s="0" t="s">
        <v>335</v>
      </c>
      <c r="B7" s="20" t="n">
        <f aca="false">SUMIFS(SKU_Channel_Model!$R$6:$R$113,SKU_Channel_Model!$A$6:$A$113,"FY22")</f>
        <v>21.22411781256</v>
      </c>
      <c r="C7" s="20" t="n">
        <f aca="false">SUMIFS(SKU_Channel_Model!$R$6:$R$113,SKU_Channel_Model!$A$6:$A$113,"FY23")</f>
        <v>109.00629849044</v>
      </c>
      <c r="D7" s="20" t="n">
        <f aca="false">SUMIFS(SKU_Channel_Model!$R$6:$R$113,SKU_Channel_Model!$A$6:$A$113,"FY24")</f>
        <v>221.09382984</v>
      </c>
    </row>
    <row r="8" customFormat="false" ht="15" hidden="false" customHeight="false" outlineLevel="0" collapsed="false">
      <c r="A8" s="0" t="s">
        <v>336</v>
      </c>
      <c r="B8" s="39" t="n">
        <f aca="false">B6-B7</f>
        <v>11.609420820816</v>
      </c>
      <c r="C8" s="39" t="n">
        <f aca="false">C6-C7</f>
        <v>59.629050683514</v>
      </c>
      <c r="D8" s="39" t="n">
        <f aca="false">D6-D7</f>
        <v>120.9392466672</v>
      </c>
    </row>
    <row r="9" customFormat="false" ht="15" hidden="false" customHeight="false" outlineLevel="0" collapsed="false">
      <c r="A9" s="0" t="s">
        <v>337</v>
      </c>
      <c r="B9" s="38" t="n">
        <f aca="false">IFERROR(B8/B6,0)</f>
        <v>0.353584210049622</v>
      </c>
      <c r="C9" s="38" t="n">
        <f aca="false">IFERROR(C8/C6,0)</f>
        <v>0.353597575927004</v>
      </c>
      <c r="D9" s="38" t="n">
        <f aca="false">IFERROR(D8/D6,0)</f>
        <v>0.353589330898102</v>
      </c>
    </row>
    <row r="10" customFormat="false" ht="15" hidden="false" customHeight="false" outlineLevel="0" collapsed="false">
      <c r="A10" s="0" t="s">
        <v>338</v>
      </c>
      <c r="B10" s="20" t="n">
        <f aca="false">SUMIFS(SKU_Channel_Model!$S$6:$S$113,SKU_Channel_Model!$A$6:$A$113,"FY22")</f>
        <v>3.02072385873024</v>
      </c>
      <c r="C10" s="20" t="n">
        <f aca="false">SUMIFS(SKU_Channel_Model!$S$6:$S$113,SKU_Channel_Model!$A$6:$A$113,"FY23")</f>
        <v>15.5137182845674</v>
      </c>
      <c r="D10" s="20" t="n">
        <f aca="false">SUMIFS(SKU_Channel_Model!$S$6:$S$113,SKU_Channel_Model!$A$6:$A$113,"FY24")</f>
        <v>31.468504351128</v>
      </c>
    </row>
    <row r="11" customFormat="false" ht="15" hidden="false" customHeight="false" outlineLevel="0" collapsed="false">
      <c r="A11" s="0" t="s">
        <v>339</v>
      </c>
      <c r="B11" s="20" t="n">
        <f aca="false">SUMIFS(SKU_Channel_Model!$T$6:$T$113,SKU_Channel_Model!$A$6:$A$113,"FY22")</f>
        <v>1.44011868</v>
      </c>
      <c r="C11" s="20" t="n">
        <f aca="false">SUMIFS(SKU_Channel_Model!$T$6:$T$113,SKU_Channel_Model!$A$6:$A$113,"FY23")</f>
        <v>7.39462390667</v>
      </c>
      <c r="D11" s="20" t="n">
        <f aca="false">SUMIFS(SKU_Channel_Model!$T$6:$T$113,SKU_Channel_Model!$A$6:$A$113,"FY24")</f>
        <v>15.001387908</v>
      </c>
    </row>
    <row r="12" customFormat="false" ht="15" hidden="false" customHeight="false" outlineLevel="0" collapsed="false">
      <c r="A12" s="17" t="s">
        <v>340</v>
      </c>
      <c r="B12" s="23" t="n">
        <f aca="false">B8-SUM(B10:B11)</f>
        <v>7.14857828208576</v>
      </c>
      <c r="C12" s="23" t="n">
        <f aca="false">C8-SUM(C10:C11)</f>
        <v>36.7207084922766</v>
      </c>
      <c r="D12" s="23" t="n">
        <f aca="false">D8-SUM(D10:D11)</f>
        <v>74.469354408072</v>
      </c>
    </row>
    <row r="13" customFormat="false" ht="15" hidden="false" customHeight="false" outlineLevel="0" collapsed="false">
      <c r="A13" s="17" t="s">
        <v>50</v>
      </c>
      <c r="B13" s="24" t="n">
        <f aca="false">IFERROR(B12/B6,0)</f>
        <v>0.217721835039099</v>
      </c>
      <c r="C13" s="24" t="n">
        <f aca="false">IFERROR(C12/C6,0)</f>
        <v>0.217752141956891</v>
      </c>
      <c r="D13" s="24" t="n">
        <f aca="false">IFERROR(D12/D6,0)</f>
        <v>0.217725592999788</v>
      </c>
    </row>
    <row r="14" customFormat="false" ht="15" hidden="false" customHeight="false" outlineLevel="0" collapsed="false">
      <c r="A14" s="0" t="s">
        <v>341</v>
      </c>
      <c r="B14" s="20" t="n">
        <f aca="false">Assumptions!B47</f>
        <v>8</v>
      </c>
      <c r="C14" s="20" t="n">
        <f aca="false">Assumptions!C47</f>
        <v>14</v>
      </c>
      <c r="D14" s="20" t="n">
        <f aca="false">Assumptions!D47</f>
        <v>13</v>
      </c>
    </row>
    <row r="15" customFormat="false" ht="15" hidden="false" customHeight="false" outlineLevel="0" collapsed="false">
      <c r="A15" s="0" t="s">
        <v>342</v>
      </c>
      <c r="B15" s="20" t="n">
        <f aca="false">Assumptions!B49</f>
        <v>3</v>
      </c>
      <c r="C15" s="20" t="n">
        <f aca="false">Assumptions!C49</f>
        <v>2</v>
      </c>
      <c r="D15" s="20" t="n">
        <f aca="false">Assumptions!D49</f>
        <v>2</v>
      </c>
    </row>
    <row r="16" customFormat="false" ht="15" hidden="false" customHeight="false" outlineLevel="0" collapsed="false">
      <c r="A16" s="0" t="s">
        <v>343</v>
      </c>
      <c r="B16" s="20" t="n">
        <f aca="false">Assumptions!B50</f>
        <v>1</v>
      </c>
      <c r="C16" s="20" t="n">
        <f aca="false">Assumptions!C50</f>
        <v>2</v>
      </c>
      <c r="D16" s="20" t="n">
        <f aca="false">Assumptions!D50</f>
        <v>2</v>
      </c>
    </row>
    <row r="17" customFormat="false" ht="15" hidden="false" customHeight="false" outlineLevel="0" collapsed="false">
      <c r="A17" s="17" t="s">
        <v>344</v>
      </c>
      <c r="B17" s="23" t="n">
        <f aca="false">B12-SUM(B14:B16)</f>
        <v>-4.85142171791424</v>
      </c>
      <c r="C17" s="23" t="n">
        <f aca="false">C12-SUM(C14:C16)</f>
        <v>18.7207084922766</v>
      </c>
      <c r="D17" s="23" t="n">
        <f aca="false">D12-SUM(D14:D16)</f>
        <v>57.469354408072</v>
      </c>
    </row>
    <row r="18" customFormat="false" ht="15" hidden="false" customHeight="false" outlineLevel="0" collapsed="false">
      <c r="A18" s="17" t="s">
        <v>345</v>
      </c>
      <c r="B18" s="24" t="n">
        <f aca="false">IFERROR(B17/B6,0)</f>
        <v>-0.147758113192913</v>
      </c>
      <c r="C18" s="24" t="n">
        <f aca="false">IFERROR(C17/C6,0)</f>
        <v>0.111012955373701</v>
      </c>
      <c r="D18" s="24" t="n">
        <f aca="false">IFERROR(D17/D6,0)</f>
        <v>0.168022797663144</v>
      </c>
    </row>
    <row r="19" customFormat="false" ht="15" hidden="false" customHeight="false" outlineLevel="0" collapsed="false">
      <c r="A19" s="0" t="s">
        <v>346</v>
      </c>
      <c r="B19" s="38" t="n">
        <f aca="false">IFERROR(SUM(B7,B11)/B6,0)</f>
        <v>0.690276998334907</v>
      </c>
      <c r="C19" s="38" t="n">
        <f aca="false">IFERROR(SUM(C7,C11)/C6,0)</f>
        <v>0.690252209677805</v>
      </c>
      <c r="D19" s="38" t="n">
        <f aca="false">IFERROR(SUM(D7,D11)/D6,0)</f>
        <v>0.690270134569953</v>
      </c>
    </row>
    <row r="20" customFormat="false" ht="15" hidden="false" customHeight="false" outlineLevel="0" collapsed="false">
      <c r="A20" s="0" t="s">
        <v>347</v>
      </c>
      <c r="B20" s="38" t="n">
        <f aca="false">IFERROR(B10/B6,0)</f>
        <v>0.0920011666259941</v>
      </c>
      <c r="C20" s="38" t="n">
        <f aca="false">IFERROR(C10/C6,0)</f>
        <v>0.0919956483653042</v>
      </c>
      <c r="D20" s="38" t="n">
        <f aca="false">IFERROR(D10/D6,0)</f>
        <v>0.0920042724302589</v>
      </c>
    </row>
    <row r="23" customFormat="false" ht="15" hidden="false" customHeight="false" outlineLevel="0" collapsed="false">
      <c r="A23" s="0" t="s">
        <v>348</v>
      </c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7"/>
    <col collapsed="false" customWidth="true" hidden="false" outlineLevel="0" max="4" min="2" style="0" width="20"/>
  </cols>
  <sheetData>
    <row r="1" customFormat="false" ht="36" hidden="false" customHeight="true" outlineLevel="0" collapsed="false">
      <c r="A1" s="1" t="s">
        <v>349</v>
      </c>
      <c r="B1" s="1"/>
      <c r="C1" s="1"/>
      <c r="D1" s="1"/>
      <c r="E1" s="1"/>
      <c r="F1" s="1"/>
      <c r="G1" s="1"/>
      <c r="H1" s="1"/>
    </row>
    <row r="5" customFormat="false" ht="24.75" hidden="false" customHeight="true" outlineLevel="0" collapsed="false">
      <c r="A5" s="16" t="s">
        <v>350</v>
      </c>
      <c r="B5" s="16" t="s">
        <v>87</v>
      </c>
      <c r="C5" s="16" t="s">
        <v>78</v>
      </c>
      <c r="D5" s="16" t="s">
        <v>79</v>
      </c>
    </row>
    <row r="6" customFormat="false" ht="15" hidden="false" customHeight="false" outlineLevel="0" collapsed="false">
      <c r="A6" s="0" t="s">
        <v>351</v>
      </c>
      <c r="B6" s="20" t="n">
        <f aca="false">SUMIFS(SKU_Channel_Model!$Q$6:$Q$113,SKU_Channel_Model!$A$6:$A$113,"FY22",SKU_Channel_Model!$D$6:$D$113,"GT")</f>
        <v>25.78786704</v>
      </c>
      <c r="C6" s="20" t="n">
        <f aca="false">SUMIFS(SKU_Channel_Model!$Q$6:$Q$113,SKU_Channel_Model!$A$6:$A$113,"FY23",SKU_Channel_Model!$D$6:$D$113,"GT")</f>
        <v>132.45761802</v>
      </c>
      <c r="D6" s="20" t="n">
        <f aca="false">SUMIFS(SKU_Channel_Model!$Q$6:$Q$113,SKU_Channel_Model!$A$6:$A$113,"FY24",SKU_Channel_Model!$D$6:$D$113,"GT")</f>
        <v>268.623615</v>
      </c>
    </row>
    <row r="7" customFormat="false" ht="15" hidden="false" customHeight="false" outlineLevel="0" collapsed="false">
      <c r="A7" s="0" t="s">
        <v>352</v>
      </c>
      <c r="B7" s="20" t="n">
        <f aca="false">SUMIFS(SKU_Channel_Model!$Q$6:$Q$113,SKU_Channel_Model!$A$6:$A$113,"FY22",SKU_Channel_Model!$D$6:$D$113,"Modern")</f>
        <v>3.4644868128</v>
      </c>
      <c r="C7" s="20" t="n">
        <f aca="false">SUMIFS(SKU_Channel_Model!$Q$6:$Q$113,SKU_Channel_Model!$A$6:$A$113,"FY23",SKU_Channel_Model!$D$6:$D$113,"Modern")</f>
        <v>17.786823636816</v>
      </c>
      <c r="D7" s="20" t="n">
        <f aca="false">SUMIFS(SKU_Channel_Model!$Q$6:$Q$113,SKU_Channel_Model!$A$6:$A$113,"FY24",SKU_Channel_Model!$D$6:$D$113,"Modern")</f>
        <v>36.103013856</v>
      </c>
    </row>
    <row r="8" customFormat="false" ht="15" hidden="false" customHeight="false" outlineLevel="0" collapsed="false">
      <c r="A8" s="0" t="s">
        <v>353</v>
      </c>
      <c r="B8" s="20" t="n">
        <f aca="false">SUMIFS(SKU_Channel_Model!$Q$6:$Q$113,SKU_Channel_Model!$A$6:$A$113,"FY22",SKU_Channel_Model!$D$6:$D$113,"QCom")</f>
        <v>3.581184780576</v>
      </c>
      <c r="C8" s="20" t="n">
        <f aca="false">SUMIFS(SKU_Channel_Model!$Q$6:$Q$113,SKU_Channel_Model!$A$6:$A$113,"FY23",SKU_Channel_Model!$D$6:$D$113,"QCom")</f>
        <v>18.390907517138</v>
      </c>
      <c r="D8" s="20" t="n">
        <f aca="false">SUMIFS(SKU_Channel_Model!$Q$6:$Q$113,SKU_Channel_Model!$A$6:$A$113,"FY24",SKU_Channel_Model!$D$6:$D$113,"QCom")</f>
        <v>37.3064476512</v>
      </c>
    </row>
    <row r="9" customFormat="false" ht="15" hidden="false" customHeight="false" outlineLevel="0" collapsed="false">
      <c r="A9" s="0" t="s">
        <v>354</v>
      </c>
      <c r="B9" s="20" t="n">
        <f aca="false">SUMPRODUCT(B6:B8,Assumptions!$D$40:$D$42+B18)/365</f>
        <v>2.22478089697105</v>
      </c>
      <c r="C9" s="20" t="n">
        <f aca="false">SUMPRODUCT(C6:C8,Assumptions!$D$40:$D$42+C18)/365</f>
        <v>11.4260988565072</v>
      </c>
      <c r="D9" s="20" t="n">
        <f aca="false">SUMPRODUCT(D6:D8,Assumptions!$D$40:$D$42+D18)/365</f>
        <v>23.1768160639956</v>
      </c>
    </row>
    <row r="10" customFormat="false" ht="15" hidden="false" customHeight="false" outlineLevel="0" collapsed="false">
      <c r="A10" s="0" t="s">
        <v>355</v>
      </c>
      <c r="B10" s="20" t="n">
        <f aca="false">P_and_L!B7</f>
        <v>21.22411781256</v>
      </c>
      <c r="C10" s="20" t="n">
        <f aca="false">P_and_L!C7</f>
        <v>109.00629849044</v>
      </c>
      <c r="D10" s="20" t="n">
        <f aca="false">P_and_L!D7</f>
        <v>221.09382984</v>
      </c>
    </row>
    <row r="11" customFormat="false" ht="15" hidden="false" customHeight="false" outlineLevel="0" collapsed="false">
      <c r="A11" s="0" t="s">
        <v>356</v>
      </c>
      <c r="B11" s="20" t="n">
        <f aca="false">IFERROR(B10*SUMPRODUCT(B6:B8,Assumptions!$F$40:$F$42)/SUM(B6:B8)/365,0)</f>
        <v>1.6267047969548</v>
      </c>
      <c r="C11" s="20" t="n">
        <f aca="false">IFERROR(C10*SUMPRODUCT(C6:C8,Assumptions!$F$40:$F$42)/SUM(C6:C8)/365,0)</f>
        <v>8.35463832531571</v>
      </c>
      <c r="D11" s="20" t="n">
        <f aca="false">IFERROR(D10*SUMPRODUCT(D6:D8,Assumptions!$F$40:$F$42)/SUM(D6:D8)/365,0)</f>
        <v>16.9457036942646</v>
      </c>
    </row>
    <row r="12" customFormat="false" ht="15" hidden="false" customHeight="false" outlineLevel="0" collapsed="false">
      <c r="A12" s="0" t="s">
        <v>357</v>
      </c>
      <c r="B12" s="20" t="n">
        <f aca="false">IFERROR(B10*SUMPRODUCT(B6:B8,Assumptions!$G$40:$G$42)/SUM(B6:B8)/365,0)</f>
        <v>1.74444803938849</v>
      </c>
      <c r="C12" s="20" t="n">
        <f aca="false">IFERROR(C10*SUMPRODUCT(C6:C8,Assumptions!$G$40:$G$42)/SUM(C6:C8)/365,0)</f>
        <v>8.95942179373479</v>
      </c>
      <c r="D12" s="20" t="n">
        <f aca="false">IFERROR(D10*SUMPRODUCT(D6:D8,Assumptions!$G$40:$G$42)/SUM(D6:D8)/365,0)</f>
        <v>18.1720956032877</v>
      </c>
    </row>
    <row r="13" customFormat="false" ht="15" hidden="false" customHeight="false" outlineLevel="0" collapsed="false">
      <c r="A13" s="17" t="s">
        <v>358</v>
      </c>
      <c r="B13" s="23" t="n">
        <f aca="false">SUM(B9,B11)-B12</f>
        <v>2.10703765453735</v>
      </c>
      <c r="C13" s="23" t="n">
        <f aca="false">SUM(C9,C11)-C12</f>
        <v>10.8213153880881</v>
      </c>
      <c r="D13" s="23" t="n">
        <f aca="false">SUM(D9,D11)-D12</f>
        <v>21.9504241549725</v>
      </c>
    </row>
    <row r="14" customFormat="false" ht="15" hidden="false" customHeight="false" outlineLevel="0" collapsed="false">
      <c r="A14" s="17" t="s">
        <v>359</v>
      </c>
      <c r="B14" s="23" t="n">
        <f aca="false">B13-0</f>
        <v>2.10703765453735</v>
      </c>
      <c r="C14" s="23" t="n">
        <f aca="false">C13-B13</f>
        <v>8.71427773355079</v>
      </c>
      <c r="D14" s="23" t="n">
        <f aca="false">D13-C13</f>
        <v>11.1291087668844</v>
      </c>
    </row>
    <row r="15" customFormat="false" ht="15" hidden="false" customHeight="false" outlineLevel="0" collapsed="false">
      <c r="A15" s="17" t="s">
        <v>360</v>
      </c>
      <c r="B15" s="18" t="n">
        <f aca="false">SUM(Assumptions!$B$48:B$48)</f>
        <v>4</v>
      </c>
      <c r="C15" s="18" t="n">
        <f aca="false">SUM(Assumptions!$B$48:C$48)</f>
        <v>11</v>
      </c>
      <c r="D15" s="18" t="n">
        <f aca="false">SUM(Assumptions!$B$48:D$48)</f>
        <v>18</v>
      </c>
    </row>
    <row r="16" customFormat="false" ht="15" hidden="false" customHeight="false" outlineLevel="0" collapsed="false">
      <c r="A16" s="17" t="s">
        <v>361</v>
      </c>
      <c r="B16" s="23" t="n">
        <f aca="false">B15-B13</f>
        <v>1.89296234546265</v>
      </c>
      <c r="C16" s="23" t="n">
        <f aca="false">C15-C13</f>
        <v>0.178684611911859</v>
      </c>
      <c r="D16" s="23" t="n">
        <f aca="false">D15-D13</f>
        <v>-3.95042415497253</v>
      </c>
    </row>
    <row r="17" customFormat="false" ht="15" hidden="false" customHeight="false" outlineLevel="0" collapsed="false">
      <c r="A17" s="0" t="s">
        <v>362</v>
      </c>
      <c r="B17" s="38" t="n">
        <f aca="false">IFERROR(B13/SUM(B6:B8),0)</f>
        <v>0.0641733344086008</v>
      </c>
      <c r="C17" s="38" t="n">
        <f aca="false">IFERROR(C13/SUM(C6:C8),0)</f>
        <v>0.0641699112380378</v>
      </c>
      <c r="D17" s="38" t="n">
        <f aca="false">IFERROR(D13/SUM(D6:D8),0)</f>
        <v>0.064176319960419</v>
      </c>
    </row>
    <row r="18" customFormat="false" ht="15" hidden="false" customHeight="false" outlineLevel="0" collapsed="false">
      <c r="A18" s="0" t="s">
        <v>363</v>
      </c>
      <c r="B18" s="20" t="n">
        <f aca="false">IF(Assumptions!$C$6="Downside",Assumptions!$C$10,0)</f>
        <v>0</v>
      </c>
      <c r="C18" s="20" t="n">
        <f aca="false">IF(Assumptions!$C$6="Downside",Assumptions!$C$10,0)</f>
        <v>0</v>
      </c>
      <c r="D18" s="20" t="n">
        <f aca="false">IF(Assumptions!$C$6="Downside",Assumptions!$C$10,0)</f>
        <v>0</v>
      </c>
    </row>
    <row r="21" customFormat="false" ht="15" hidden="false" customHeight="false" outlineLevel="0" collapsed="false">
      <c r="A21" s="0" t="s">
        <v>364</v>
      </c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4" min="2" style="0" width="18"/>
  </cols>
  <sheetData>
    <row r="1" customFormat="false" ht="36" hidden="false" customHeight="true" outlineLevel="0" collapsed="false">
      <c r="A1" s="1" t="s">
        <v>365</v>
      </c>
      <c r="B1" s="1"/>
      <c r="C1" s="1"/>
      <c r="D1" s="1"/>
      <c r="E1" s="1"/>
      <c r="F1" s="1"/>
      <c r="G1" s="1"/>
      <c r="H1" s="1"/>
    </row>
    <row r="5" customFormat="false" ht="24.75" hidden="false" customHeight="true" outlineLevel="0" collapsed="false">
      <c r="A5" s="16" t="s">
        <v>366</v>
      </c>
      <c r="B5" s="16" t="s">
        <v>87</v>
      </c>
      <c r="C5" s="16" t="s">
        <v>78</v>
      </c>
      <c r="D5" s="16" t="s">
        <v>79</v>
      </c>
    </row>
    <row r="6" customFormat="false" ht="15" hidden="false" customHeight="false" outlineLevel="0" collapsed="false">
      <c r="A6" s="0" t="s">
        <v>367</v>
      </c>
      <c r="B6" s="20" t="n">
        <f aca="false">P_and_L!B12</f>
        <v>7.14857828208576</v>
      </c>
      <c r="C6" s="20" t="n">
        <f aca="false">P_and_L!C12</f>
        <v>36.7207084922766</v>
      </c>
      <c r="D6" s="20" t="n">
        <f aca="false">P_and_L!D12</f>
        <v>74.469354408072</v>
      </c>
    </row>
    <row r="7" customFormat="false" ht="15" hidden="false" customHeight="false" outlineLevel="0" collapsed="false">
      <c r="A7" s="0" t="s">
        <v>368</v>
      </c>
      <c r="B7" s="20" t="n">
        <f aca="false">SUM(P_and_L!B14:P14)</f>
        <v>35</v>
      </c>
      <c r="C7" s="20" t="n">
        <f aca="false">SUM(P_and_L!C14:P14)</f>
        <v>27</v>
      </c>
      <c r="D7" s="20" t="n">
        <f aca="false">SUM(P_and_L!D14:P14)</f>
        <v>13</v>
      </c>
    </row>
    <row r="8" customFormat="false" ht="15" hidden="false" customHeight="false" outlineLevel="0" collapsed="false">
      <c r="A8" s="0" t="s">
        <v>369</v>
      </c>
      <c r="B8" s="39" t="n">
        <f aca="false">B6-B7</f>
        <v>-27.8514217179142</v>
      </c>
      <c r="C8" s="39" t="n">
        <f aca="false">C6-C7</f>
        <v>9.72070849227664</v>
      </c>
      <c r="D8" s="39" t="n">
        <f aca="false">D6-D7</f>
        <v>61.469354408072</v>
      </c>
    </row>
    <row r="9" customFormat="false" ht="15" hidden="false" customHeight="false" outlineLevel="0" collapsed="false">
      <c r="A9" s="0" t="s">
        <v>370</v>
      </c>
      <c r="B9" s="20" t="n">
        <f aca="false">Working_Capital!B14</f>
        <v>2.10703765453735</v>
      </c>
      <c r="C9" s="20" t="n">
        <f aca="false">Working_Capital!C14</f>
        <v>8.71427773355079</v>
      </c>
      <c r="D9" s="20" t="n">
        <f aca="false">Working_Capital!D14</f>
        <v>11.1291087668844</v>
      </c>
    </row>
    <row r="10" customFormat="false" ht="15" hidden="false" customHeight="false" outlineLevel="0" collapsed="false">
      <c r="A10" s="0" t="s">
        <v>371</v>
      </c>
      <c r="B10" s="20" t="n">
        <f aca="false">Assumptions!B51</f>
        <v>1</v>
      </c>
      <c r="C10" s="20" t="n">
        <f aca="false">Assumptions!C51</f>
        <v>2</v>
      </c>
      <c r="D10" s="20" t="n">
        <f aca="false">Assumptions!D51</f>
        <v>2</v>
      </c>
    </row>
    <row r="11" customFormat="false" ht="15" hidden="false" customHeight="false" outlineLevel="0" collapsed="false">
      <c r="A11" s="17" t="s">
        <v>372</v>
      </c>
      <c r="B11" s="23" t="n">
        <f aca="false">B8-SUM(B9:B10)</f>
        <v>-30.9584593724516</v>
      </c>
      <c r="C11" s="23" t="n">
        <f aca="false">C8-SUM(C9:C10)</f>
        <v>-0.993569241274155</v>
      </c>
      <c r="D11" s="23" t="n">
        <f aca="false">D8-SUM(D9:D10)</f>
        <v>48.3402456411876</v>
      </c>
    </row>
    <row r="12" customFormat="false" ht="15" hidden="false" customHeight="false" outlineLevel="0" collapsed="false">
      <c r="A12" s="17" t="s">
        <v>373</v>
      </c>
      <c r="B12" s="23" t="n">
        <f aca="false">0+B11</f>
        <v>-30.9584593724516</v>
      </c>
      <c r="C12" s="23" t="n">
        <f aca="false">B12+C11</f>
        <v>-31.9520286137257</v>
      </c>
      <c r="D12" s="23" t="n">
        <f aca="false">C12+D11</f>
        <v>16.3882170274619</v>
      </c>
    </row>
    <row r="13" customFormat="false" ht="15" hidden="false" customHeight="false" outlineLevel="0" collapsed="false">
      <c r="A13" s="0" t="s">
        <v>374</v>
      </c>
      <c r="B13" s="20" t="n">
        <f aca="false">Assumptions!B52</f>
        <v>1</v>
      </c>
      <c r="C13" s="20" t="n">
        <f aca="false">Assumptions!C52</f>
        <v>2</v>
      </c>
      <c r="D13" s="20" t="n">
        <f aca="false">Assumptions!D52</f>
        <v>2</v>
      </c>
    </row>
    <row r="14" customFormat="false" ht="15" hidden="false" customHeight="false" outlineLevel="0" collapsed="false">
      <c r="A14" s="0" t="s">
        <v>375</v>
      </c>
      <c r="B14" s="20" t="n">
        <f aca="false">Assumptions!B53</f>
        <v>18</v>
      </c>
      <c r="C14" s="20" t="n">
        <f aca="false">Assumptions!C53</f>
        <v>29</v>
      </c>
      <c r="D14" s="20" t="n">
        <f aca="false">Assumptions!D53</f>
        <v>28</v>
      </c>
    </row>
    <row r="15" customFormat="false" ht="15" hidden="false" customHeight="false" outlineLevel="0" collapsed="false">
      <c r="A15" s="17" t="s">
        <v>376</v>
      </c>
      <c r="B15" s="23" t="n">
        <f aca="false">SUM($B14:B14)</f>
        <v>18</v>
      </c>
      <c r="C15" s="23" t="n">
        <f aca="false">SUM($B14:C14)</f>
        <v>47</v>
      </c>
      <c r="D15" s="23" t="n">
        <f aca="false">SUM($B14:D14)</f>
        <v>75</v>
      </c>
    </row>
    <row r="16" customFormat="false" ht="15" hidden="false" customHeight="false" outlineLevel="0" collapsed="false">
      <c r="A16" s="17" t="s">
        <v>377</v>
      </c>
      <c r="B16" s="18" t="n">
        <f aca="false">Assumptions!$F$10</f>
        <v>75</v>
      </c>
      <c r="C16" s="18" t="n">
        <f aca="false">Assumptions!$F$10</f>
        <v>75</v>
      </c>
      <c r="D16" s="18" t="n">
        <f aca="false">Assumptions!$F$10</f>
        <v>75</v>
      </c>
    </row>
    <row r="17" customFormat="false" ht="15" hidden="false" customHeight="false" outlineLevel="0" collapsed="false">
      <c r="A17" s="17" t="s">
        <v>378</v>
      </c>
      <c r="B17" s="23" t="n">
        <f aca="false">B16-B15</f>
        <v>57</v>
      </c>
      <c r="C17" s="23" t="n">
        <f aca="false">C16-C15</f>
        <v>28</v>
      </c>
      <c r="D17" s="23" t="n">
        <f aca="false">D16-D15</f>
        <v>0</v>
      </c>
    </row>
    <row r="18" customFormat="false" ht="15" hidden="false" customHeight="false" outlineLevel="0" collapsed="false">
      <c r="A18" s="0" t="s">
        <v>379</v>
      </c>
      <c r="B18" s="39" t="n">
        <f aca="false">SUM($B7:B7)+SUM($B10:B10)</f>
        <v>36</v>
      </c>
      <c r="C18" s="39" t="n">
        <f aca="false">SUM($B7:C7)+SUM($B10:C10)</f>
        <v>65</v>
      </c>
      <c r="D18" s="39" t="n">
        <f aca="false">SUM($B7:D7)+SUM($B10:D10)</f>
        <v>80</v>
      </c>
    </row>
    <row r="19" customFormat="false" ht="15" hidden="false" customHeight="false" outlineLevel="0" collapsed="false">
      <c r="A19" s="0" t="s">
        <v>380</v>
      </c>
      <c r="B19" s="20" t="n">
        <f aca="false">Working_Capital!B13</f>
        <v>2.10703765453735</v>
      </c>
      <c r="C19" s="20" t="n">
        <f aca="false">Working_Capital!C13</f>
        <v>10.8213153880881</v>
      </c>
      <c r="D19" s="20" t="n">
        <f aca="false">Working_Capital!D13</f>
        <v>21.9504241549725</v>
      </c>
    </row>
    <row r="20" customFormat="false" ht="15" hidden="false" customHeight="false" outlineLevel="0" collapsed="false">
      <c r="A20" s="0" t="s">
        <v>381</v>
      </c>
      <c r="B20" s="29" t="str">
        <f aca="false">IF(B12&gt;=0,"YES","NO")</f>
        <v>NO</v>
      </c>
      <c r="C20" s="29" t="str">
        <f aca="false">IF(C12&gt;=0,"YES","NO")</f>
        <v>NO</v>
      </c>
      <c r="D20" s="29" t="str">
        <f aca="false">IF(D12&gt;=0,"YES","NO")</f>
        <v>YES</v>
      </c>
    </row>
    <row r="21" customFormat="false" ht="15" hidden="false" customHeight="false" outlineLevel="0" collapsed="false">
      <c r="A21" s="0" t="s">
        <v>382</v>
      </c>
      <c r="B21" s="39" t="n">
        <f aca="false">B12</f>
        <v>-30.9584593724516</v>
      </c>
      <c r="C21" s="39" t="n">
        <f aca="false">C12</f>
        <v>-31.9520286137257</v>
      </c>
      <c r="D21" s="39" t="n">
        <f aca="false">D12</f>
        <v>16.3882170274619</v>
      </c>
    </row>
    <row r="24" customFormat="false" ht="15" hidden="false" customHeight="false" outlineLevel="0" collapsed="false">
      <c r="A24" s="0" t="s">
        <v>383</v>
      </c>
    </row>
    <row r="25" customFormat="false" ht="15" hidden="false" customHeight="false" outlineLevel="0" collapsed="false">
      <c r="A25" s="0" t="s">
        <v>384</v>
      </c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8"/>
  </cols>
  <sheetData>
    <row r="1" customFormat="false" ht="36" hidden="false" customHeight="true" outlineLevel="0" collapsed="false">
      <c r="A1" s="1" t="s">
        <v>385</v>
      </c>
      <c r="B1" s="1"/>
      <c r="C1" s="1"/>
      <c r="D1" s="1"/>
      <c r="E1" s="1"/>
      <c r="F1" s="1"/>
      <c r="G1" s="1"/>
      <c r="H1" s="1"/>
    </row>
    <row r="5" customFormat="false" ht="24.75" hidden="false" customHeight="true" outlineLevel="0" collapsed="false">
      <c r="A5" s="16" t="s">
        <v>43</v>
      </c>
      <c r="B5" s="16" t="s">
        <v>386</v>
      </c>
      <c r="C5" s="16" t="s">
        <v>387</v>
      </c>
      <c r="D5" s="16" t="s">
        <v>388</v>
      </c>
      <c r="E5" s="16" t="s">
        <v>389</v>
      </c>
      <c r="F5" s="16" t="s">
        <v>390</v>
      </c>
    </row>
    <row r="6" customFormat="false" ht="15" hidden="false" customHeight="false" outlineLevel="0" collapsed="false">
      <c r="A6" s="0" t="s">
        <v>52</v>
      </c>
      <c r="B6" s="20" t="n">
        <f aca="false">Portfolio!E7*Assumptions!K57</f>
        <v>40.586182747968</v>
      </c>
      <c r="C6" s="20" t="n">
        <f aca="false">Portfolio!E7*Assumptions!L57</f>
        <v>44.275835725056</v>
      </c>
      <c r="D6" s="20" t="n">
        <f aca="false">Portfolio!E7*Assumptions!M57</f>
        <v>49.810315190688</v>
      </c>
      <c r="E6" s="20" t="n">
        <f aca="false">Portfolio!E7*Assumptions!N57</f>
        <v>49.810315190688</v>
      </c>
      <c r="F6" s="39" t="n">
        <f aca="false">SUM(B6:E6)</f>
        <v>184.4826488544</v>
      </c>
    </row>
    <row r="7" customFormat="false" ht="15" hidden="false" customHeight="false" outlineLevel="0" collapsed="false">
      <c r="A7" s="0" t="s">
        <v>54</v>
      </c>
      <c r="B7" s="20" t="n">
        <f aca="false">Portfolio!E8*Assumptions!K58</f>
        <v>1.48790025696</v>
      </c>
      <c r="C7" s="20" t="n">
        <f aca="false">Portfolio!E8*Assumptions!L58</f>
        <v>2.97580051392</v>
      </c>
      <c r="D7" s="20" t="n">
        <f aca="false">Portfolio!E8*Assumptions!M58</f>
        <v>37.197506424</v>
      </c>
      <c r="E7" s="20" t="n">
        <f aca="false">Portfolio!E8*Assumptions!N58</f>
        <v>32.73380565312</v>
      </c>
      <c r="F7" s="39" t="n">
        <f aca="false">SUM(B7:E7)</f>
        <v>74.395012848</v>
      </c>
    </row>
    <row r="8" customFormat="false" ht="15" hidden="false" customHeight="false" outlineLevel="0" collapsed="false">
      <c r="A8" s="0" t="s">
        <v>235</v>
      </c>
      <c r="B8" s="20" t="n">
        <f aca="false">Portfolio!E9*Assumptions!K59</f>
        <v>18.294191257056</v>
      </c>
      <c r="C8" s="20" t="n">
        <f aca="false">Portfolio!E9*Assumptions!L59</f>
        <v>20.7888537012</v>
      </c>
      <c r="D8" s="20" t="n">
        <f aca="false">Portfolio!E9*Assumptions!M59</f>
        <v>23.283516145344</v>
      </c>
      <c r="E8" s="20" t="n">
        <f aca="false">Portfolio!E9*Assumptions!N59</f>
        <v>20.7888537012</v>
      </c>
      <c r="F8" s="39" t="n">
        <f aca="false">SUM(B8:E8)</f>
        <v>83.1554148048</v>
      </c>
    </row>
    <row r="9" customFormat="false" ht="15" hidden="false" customHeight="false" outlineLevel="0" collapsed="false">
      <c r="A9" s="0" t="s">
        <v>391</v>
      </c>
      <c r="B9" s="39" t="n">
        <f aca="false">SUM(B6:B8)</f>
        <v>60.368274261984</v>
      </c>
      <c r="C9" s="39" t="n">
        <f aca="false">SUM(C6:C8)</f>
        <v>68.040489940176</v>
      </c>
      <c r="D9" s="39" t="n">
        <f aca="false">SUM(D6:D8)</f>
        <v>110.291337760032</v>
      </c>
      <c r="E9" s="39" t="n">
        <f aca="false">SUM(E6:E8)</f>
        <v>103.332974545008</v>
      </c>
      <c r="F9" s="39" t="n">
        <f aca="false">SUM(F6:F8)</f>
        <v>342.0330765072</v>
      </c>
    </row>
    <row r="10" customFormat="false" ht="15" hidden="false" customHeight="false" outlineLevel="0" collapsed="false">
      <c r="B10" s="37"/>
      <c r="C10" s="37"/>
      <c r="D10" s="37"/>
      <c r="E10" s="37"/>
      <c r="F10" s="37"/>
    </row>
    <row r="11" customFormat="false" ht="15" hidden="false" customHeight="false" outlineLevel="0" collapsed="false">
      <c r="A11" s="0" t="s">
        <v>392</v>
      </c>
      <c r="B11" s="38" t="n">
        <f aca="false">IFERROR(B9/$F$9,0)</f>
        <v>0.17649835179234</v>
      </c>
      <c r="C11" s="38" t="n">
        <f aca="false">IFERROR(C9/$F$9,0)</f>
        <v>0.198929561535385</v>
      </c>
      <c r="D11" s="38" t="n">
        <f aca="false">IFERROR(D9/$F$9,0)</f>
        <v>0.322458105181855</v>
      </c>
      <c r="E11" s="38" t="n">
        <f aca="false">IFERROR(E9/$F$9,0)</f>
        <v>0.302113981490421</v>
      </c>
      <c r="F11" s="37"/>
    </row>
    <row r="12" customFormat="false" ht="15" hidden="false" customHeight="false" outlineLevel="0" collapsed="false">
      <c r="B12" s="37"/>
      <c r="C12" s="37"/>
      <c r="D12" s="37"/>
      <c r="E12" s="37"/>
      <c r="F12" s="37"/>
    </row>
    <row r="13" customFormat="false" ht="15" hidden="false" customHeight="false" outlineLevel="0" collapsed="false">
      <c r="A13" s="0" t="s">
        <v>393</v>
      </c>
      <c r="B13" s="35" t="n">
        <f aca="false">Assumptions!K60</f>
        <v>0.41</v>
      </c>
      <c r="C13" s="35" t="n">
        <f aca="false">Assumptions!L60</f>
        <v>0.23</v>
      </c>
      <c r="D13" s="35" t="n">
        <f aca="false">Assumptions!M60</f>
        <v>0.15</v>
      </c>
      <c r="E13" s="35" t="n">
        <f aca="false">Assumptions!N60</f>
        <v>0.21</v>
      </c>
      <c r="F13" s="37"/>
    </row>
    <row r="14" customFormat="false" ht="15" hidden="false" customHeight="false" outlineLevel="0" collapsed="false">
      <c r="A14" s="0" t="s">
        <v>394</v>
      </c>
      <c r="B14" s="20" t="n">
        <f aca="false">Portfolio!E6*B13</f>
        <v>258.3</v>
      </c>
      <c r="C14" s="20" t="n">
        <f aca="false">Portfolio!E6*C13</f>
        <v>144.9</v>
      </c>
      <c r="D14" s="20" t="n">
        <f aca="false">Portfolio!E6*D13</f>
        <v>94.5</v>
      </c>
      <c r="E14" s="20" t="n">
        <f aca="false">Portfolio!E6*E13</f>
        <v>132.3</v>
      </c>
      <c r="F14" s="37"/>
    </row>
    <row r="15" customFormat="false" ht="15" hidden="false" customHeight="false" outlineLevel="0" collapsed="false">
      <c r="A15" s="0" t="s">
        <v>395</v>
      </c>
      <c r="B15" s="39" t="n">
        <f aca="false">SUM(B9,B14)</f>
        <v>318.668274261984</v>
      </c>
      <c r="C15" s="39" t="n">
        <f aca="false">SUM(C9,C14)</f>
        <v>212.940489940176</v>
      </c>
      <c r="D15" s="39" t="n">
        <f aca="false">SUM(D9,D14)</f>
        <v>204.791337760032</v>
      </c>
      <c r="E15" s="39" t="n">
        <f aca="false">SUM(E9,E14)</f>
        <v>235.632974545008</v>
      </c>
      <c r="F15" s="37"/>
    </row>
    <row r="16" customFormat="false" ht="15" hidden="false" customHeight="false" outlineLevel="0" collapsed="false">
      <c r="A16" s="0" t="s">
        <v>396</v>
      </c>
      <c r="B16" s="38" t="n">
        <f aca="false">IFERROR(B15/SUM($B15:$E15),0)</f>
        <v>0.327836862719788</v>
      </c>
      <c r="C16" s="38" t="n">
        <f aca="false">IFERROR(C15/SUM($B15:$E15),0)</f>
        <v>0.21906712342067</v>
      </c>
      <c r="D16" s="38" t="n">
        <f aca="false">IFERROR(D15/SUM($B15:$E15),0)</f>
        <v>0.210683507289595</v>
      </c>
      <c r="E16" s="38" t="n">
        <f aca="false">IFERROR(E15/SUM($B15:$E15),0)</f>
        <v>0.242412506569948</v>
      </c>
      <c r="F16" s="37"/>
    </row>
    <row r="19" customFormat="false" ht="15" hidden="false" customHeight="false" outlineLevel="0" collapsed="false">
      <c r="A19" s="0" t="s">
        <v>397</v>
      </c>
    </row>
    <row r="20" customFormat="false" ht="15" hidden="false" customHeight="false" outlineLevel="0" collapsed="false">
      <c r="A20" s="0" t="s">
        <v>398</v>
      </c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4" min="2" style="0" width="23"/>
  </cols>
  <sheetData>
    <row r="1" customFormat="false" ht="36" hidden="false" customHeight="true" outlineLevel="0" collapsed="false">
      <c r="A1" s="1" t="s">
        <v>399</v>
      </c>
      <c r="B1" s="1"/>
      <c r="C1" s="1"/>
      <c r="D1" s="1"/>
      <c r="E1" s="1"/>
      <c r="F1" s="1"/>
      <c r="G1" s="1"/>
      <c r="H1" s="1"/>
    </row>
    <row r="5" customFormat="false" ht="24.75" hidden="false" customHeight="true" outlineLevel="0" collapsed="false">
      <c r="A5" s="16" t="s">
        <v>400</v>
      </c>
      <c r="B5" s="16" t="s">
        <v>87</v>
      </c>
      <c r="C5" s="16" t="s">
        <v>78</v>
      </c>
      <c r="D5" s="16" t="s">
        <v>79</v>
      </c>
    </row>
    <row r="6" customFormat="false" ht="15" hidden="false" customHeight="false" outlineLevel="0" collapsed="false">
      <c r="A6" s="0" t="s">
        <v>401</v>
      </c>
      <c r="B6" s="20" t="n">
        <f aca="false">Portfolio!C11</f>
        <v>612.833538633376</v>
      </c>
      <c r="C6" s="20" t="n">
        <f aca="false">Portfolio!D11</f>
        <v>773.635349173954</v>
      </c>
      <c r="D6" s="20" t="n">
        <f aca="false">Portfolio!E11</f>
        <v>972.0330765072</v>
      </c>
    </row>
    <row r="7" customFormat="false" ht="15" hidden="false" customHeight="false" outlineLevel="0" collapsed="false">
      <c r="A7" s="0" t="s">
        <v>402</v>
      </c>
      <c r="B7" s="20" t="n">
        <f aca="false">Portfolio!C10</f>
        <v>32.833538633376</v>
      </c>
      <c r="C7" s="20" t="n">
        <f aca="false">Portfolio!D10</f>
        <v>168.635349173954</v>
      </c>
      <c r="D7" s="20" t="n">
        <f aca="false">Portfolio!E10</f>
        <v>342.0330765072</v>
      </c>
    </row>
    <row r="8" customFormat="false" ht="15" hidden="false" customHeight="false" outlineLevel="0" collapsed="false">
      <c r="A8" s="0" t="s">
        <v>403</v>
      </c>
      <c r="B8" s="35" t="n">
        <f aca="false">Portfolio!C12</f>
        <v>0.053576602068149</v>
      </c>
      <c r="C8" s="35" t="n">
        <f aca="false">Portfolio!D12</f>
        <v>0.21797782295498</v>
      </c>
      <c r="D8" s="35" t="n">
        <f aca="false">Portfolio!E12</f>
        <v>0.351873907147507</v>
      </c>
    </row>
    <row r="9" customFormat="false" ht="15" hidden="false" customHeight="false" outlineLevel="0" collapsed="false">
      <c r="A9" s="0" t="s">
        <v>404</v>
      </c>
      <c r="B9" s="25" t="str">
        <f aca="false">IF(B$5="FY24",IF(Portfolio!C12&gt;=Assumptions!F12,"PASS","GAP"),"N/A")</f>
        <v>N/A</v>
      </c>
      <c r="C9" s="25" t="str">
        <f aca="false">IF(C$5="FY24",IF(Portfolio!D12&gt;=Assumptions!F12,"PASS","GAP"),"N/A")</f>
        <v>N/A</v>
      </c>
      <c r="D9" s="25" t="str">
        <f aca="false">IF(D$5="FY24",IF(Portfolio!E12&gt;=Assumptions!F12,"PASS","GAP"),"N/A")</f>
        <v>PASS</v>
      </c>
    </row>
    <row r="10" customFormat="false" ht="15" hidden="false" customHeight="false" outlineLevel="0" collapsed="false">
      <c r="A10" s="0" t="s">
        <v>405</v>
      </c>
      <c r="B10" s="25" t="str">
        <f aca="false">IF(B$5="FY24",IF(Portfolio!C11&gt;=Assumptions!F11,"PASS","GAP"),"N/A")</f>
        <v>N/A</v>
      </c>
      <c r="C10" s="25" t="str">
        <f aca="false">IF(C$5="FY24",IF(Portfolio!D11&gt;=Assumptions!F11,"PASS","GAP"),"N/A")</f>
        <v>N/A</v>
      </c>
      <c r="D10" s="25" t="str">
        <f aca="false">IF(D$5="FY24",IF(Portfolio!E11&gt;=Assumptions!F11,"PASS","GAP"),"N/A")</f>
        <v>PASS</v>
      </c>
    </row>
    <row r="11" customFormat="false" ht="15" hidden="false" customHeight="false" outlineLevel="0" collapsed="false">
      <c r="A11" s="0" t="s">
        <v>406</v>
      </c>
      <c r="B11" s="25" t="str">
        <f aca="false">IF(Cash_Flow!B15&lt;=Assumptions!F10,"PASS","OVER BUDGET")</f>
        <v>PASS</v>
      </c>
      <c r="C11" s="25" t="str">
        <f aca="false">IF(Cash_Flow!C15&lt;=Assumptions!F10,"PASS","OVER BUDGET")</f>
        <v>PASS</v>
      </c>
      <c r="D11" s="25" t="str">
        <f aca="false">IF(Cash_Flow!D15&lt;=Assumptions!F10,"PASS","OVER BUDGET")</f>
        <v>PASS</v>
      </c>
    </row>
    <row r="12" customFormat="false" ht="15" hidden="false" customHeight="false" outlineLevel="0" collapsed="false">
      <c r="A12" s="0" t="s">
        <v>407</v>
      </c>
      <c r="B12" s="25" t="str">
        <f aca="false">IF(Working_Capital!B16&gt;=0,"PASS","SHORTFALL")</f>
        <v>PASS</v>
      </c>
      <c r="C12" s="25" t="str">
        <f aca="false">IF(Working_Capital!C16&gt;=0,"PASS","SHORTFALL")</f>
        <v>PASS</v>
      </c>
      <c r="D12" s="25" t="str">
        <f aca="false">IF(Working_Capital!D16&gt;=0,"PASS","SHORTFALL")</f>
        <v>SHORTFALL</v>
      </c>
    </row>
    <row r="13" customFormat="false" ht="15" hidden="false" customHeight="false" outlineLevel="0" collapsed="false">
      <c r="A13" s="0" t="s">
        <v>408</v>
      </c>
      <c r="B13" s="25" t="str">
        <f aca="false">IF(Cash_Flow!B12&gt;=0,"PASS","UNRECOVERED")</f>
        <v>UNRECOVERED</v>
      </c>
      <c r="C13" s="25" t="str">
        <f aca="false">IF(Cash_Flow!C12&gt;=0,"PASS","UNRECOVERED")</f>
        <v>UNRECOVERED</v>
      </c>
      <c r="D13" s="25" t="str">
        <f aca="false">IF(Cash_Flow!D12&gt;=0,"PASS","UNRECOVERED")</f>
        <v>PASS</v>
      </c>
    </row>
    <row r="14" customFormat="false" ht="15" hidden="false" customHeight="false" outlineLevel="0" collapsed="false">
      <c r="A14" s="0" t="s">
        <v>409</v>
      </c>
      <c r="B14" s="25" t="str">
        <f aca="false">IF(P_and_L!B12&gt;=0,"PASS","LOSS")</f>
        <v>PASS</v>
      </c>
      <c r="C14" s="25" t="str">
        <f aca="false">IF(P_and_L!C12&gt;=0,"PASS","LOSS")</f>
        <v>PASS</v>
      </c>
      <c r="D14" s="25" t="str">
        <f aca="false">IF(P_and_L!D12&gt;=0,"PASS","LOSS")</f>
        <v>PASS</v>
      </c>
    </row>
    <row r="15" customFormat="false" ht="15" hidden="false" customHeight="false" outlineLevel="0" collapsed="false">
      <c r="A15" s="0" t="s">
        <v>410</v>
      </c>
      <c r="B15" s="20" t="n">
        <f aca="false">SUM(Assumptions!B18:B20)-Portfolio!C10</f>
        <v>-12.833538633376</v>
      </c>
      <c r="C15" s="20" t="n">
        <f aca="false">SUM(Assumptions!C18:C20)-Portfolio!D10</f>
        <v>-33.635349173954</v>
      </c>
      <c r="D15" s="20" t="n">
        <f aca="false">SUM(Assumptions!D18:D20)-Portfolio!E10</f>
        <v>-72.0330765072</v>
      </c>
    </row>
    <row r="16" customFormat="false" ht="15" hidden="false" customHeight="false" outlineLevel="0" collapsed="false">
      <c r="A16" s="0" t="s">
        <v>411</v>
      </c>
      <c r="B16" s="20" t="n">
        <f aca="false">IF(B$5="FY24",Portfolio!C11-Assumptions!F11,0)</f>
        <v>0</v>
      </c>
      <c r="C16" s="20" t="n">
        <f aca="false">IF(C$5="FY24",Portfolio!D11-Assumptions!F11,0)</f>
        <v>0</v>
      </c>
      <c r="D16" s="20" t="n">
        <f aca="false">IF(D$5="FY24",Portfolio!E11-Assumptions!F11,0)</f>
        <v>72.0330765072</v>
      </c>
    </row>
    <row r="17" customFormat="false" ht="15" hidden="false" customHeight="false" outlineLevel="0" collapsed="false">
      <c r="A17" s="0" t="s">
        <v>412</v>
      </c>
    </row>
    <row r="18" customFormat="false" ht="15" hidden="false" customHeight="false" outlineLevel="0" collapsed="false">
      <c r="A18" s="0" t="s">
        <v>413</v>
      </c>
      <c r="B18" s="0" t="s">
        <v>414</v>
      </c>
      <c r="C18" s="0" t="s">
        <v>414</v>
      </c>
      <c r="D18" s="0" t="s">
        <v>414</v>
      </c>
    </row>
    <row r="19" customFormat="false" ht="15" hidden="false" customHeight="false" outlineLevel="0" collapsed="false">
      <c r="A19" s="0" t="s">
        <v>415</v>
      </c>
      <c r="B19" s="0" t="s">
        <v>416</v>
      </c>
      <c r="C19" s="0" t="s">
        <v>416</v>
      </c>
      <c r="D19" s="0" t="s">
        <v>416</v>
      </c>
    </row>
    <row r="20" customFormat="false" ht="15" hidden="false" customHeight="false" outlineLevel="0" collapsed="false">
      <c r="A20" s="0" t="s">
        <v>417</v>
      </c>
      <c r="B20" s="0" t="s">
        <v>418</v>
      </c>
      <c r="C20" s="0" t="s">
        <v>418</v>
      </c>
      <c r="D20" s="0" t="s">
        <v>418</v>
      </c>
    </row>
    <row r="21" customFormat="false" ht="15" hidden="false" customHeight="false" outlineLevel="0" collapsed="false">
      <c r="A21" s="0" t="s">
        <v>419</v>
      </c>
      <c r="B21" s="25" t="str">
        <f aca="false">IF(Assumptions!C6="Downside","YES","BASE")</f>
        <v>BASE</v>
      </c>
      <c r="C21" s="25" t="str">
        <f aca="false">IF(Assumptions!C6="Downside","YES","BASE")</f>
        <v>BASE</v>
      </c>
      <c r="D21" s="25" t="str">
        <f aca="false">IF(Assumptions!C6="Downside","YES","BASE")</f>
        <v>BASE</v>
      </c>
    </row>
    <row r="22" customFormat="false" ht="15" hidden="false" customHeight="false" outlineLevel="0" collapsed="false">
      <c r="A22" s="0" t="s">
        <v>420</v>
      </c>
      <c r="B22" s="0" t="s">
        <v>421</v>
      </c>
      <c r="C22" s="0" t="s">
        <v>421</v>
      </c>
      <c r="D22" s="0" t="s">
        <v>421</v>
      </c>
    </row>
    <row r="23" customFormat="false" ht="15" hidden="false" customHeight="false" outlineLevel="0" collapsed="false">
      <c r="A23" s="0" t="s">
        <v>422</v>
      </c>
      <c r="D23" s="25" t="str">
        <f aca="false">IF(Distributor_Econ!J19&gt;0,"PASS","LOSS")</f>
        <v>PASS</v>
      </c>
    </row>
    <row r="24" customFormat="false" ht="15" hidden="false" customHeight="false" outlineLevel="0" collapsed="false">
      <c r="A24" s="0" t="s">
        <v>423</v>
      </c>
      <c r="D24" s="25" t="n">
        <f aca="false">COUNTIFS(SKU_Channel_Model!$A$6:$A$113,"FY24",SKU_Channel_Model!$U$6:$U$113,"&lt;0")</f>
        <v>16</v>
      </c>
    </row>
    <row r="25" customFormat="false" ht="15" hidden="false" customHeight="false" outlineLevel="0" collapsed="false">
      <c r="A25" s="0" t="s">
        <v>424</v>
      </c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3"/>
    <col collapsed="false" customWidth="true" hidden="false" outlineLevel="0" max="12" min="3" style="0" width="19"/>
    <col collapsed="false" customWidth="true" hidden="false" outlineLevel="0" max="13" min="13" style="0" width="20"/>
  </cols>
  <sheetData>
    <row r="1" customFormat="false" ht="36.75" hidden="false" customHeight="true" outlineLevel="0" collapsed="false">
      <c r="A1" s="1" t="s">
        <v>425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15" hidden="false" customHeight="false" outlineLevel="0" collapsed="false">
      <c r="A3" s="40" t="s">
        <v>426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</row>
    <row r="5" customFormat="false" ht="24.75" hidden="false" customHeight="true" outlineLevel="0" collapsed="false">
      <c r="A5" s="16" t="s">
        <v>281</v>
      </c>
      <c r="B5" s="16" t="s">
        <v>205</v>
      </c>
      <c r="C5" s="16" t="s">
        <v>293</v>
      </c>
      <c r="D5" s="16" t="s">
        <v>427</v>
      </c>
      <c r="E5" s="16" t="s">
        <v>428</v>
      </c>
      <c r="F5" s="16" t="s">
        <v>429</v>
      </c>
      <c r="G5" s="16" t="s">
        <v>430</v>
      </c>
      <c r="H5" s="16" t="s">
        <v>431</v>
      </c>
      <c r="I5" s="16" t="s">
        <v>432</v>
      </c>
      <c r="J5" s="16" t="s">
        <v>433</v>
      </c>
      <c r="K5" s="16" t="s">
        <v>434</v>
      </c>
      <c r="L5" s="16" t="s">
        <v>435</v>
      </c>
      <c r="M5" s="16" t="s">
        <v>436</v>
      </c>
    </row>
    <row r="6" customFormat="false" ht="15" hidden="false" customHeight="false" outlineLevel="0" collapsed="false">
      <c r="A6" s="25" t="str">
        <f aca="false">Assumptions!A24</f>
        <v>SAB_T</v>
      </c>
      <c r="B6" s="25" t="str">
        <f aca="false">Assumptions!D24</f>
        <v>8g trial</v>
      </c>
      <c r="C6" s="20" t="n">
        <f aca="false">Assumptions!E24*(1+Assumptions!$C$11)^2</f>
        <v>10</v>
      </c>
      <c r="D6" s="33" t="n">
        <f aca="false">SUMIFS(SKU_Channel_Model!$O$6:$O$113,SKU_Channel_Model!$A$6:$A$113,"FY24",SKU_Channel_Model!$B$6:$B$113,A6,SKU_Channel_Model!$D$6:$D$113,"GT")</f>
        <v>13807300</v>
      </c>
      <c r="E6" s="39" t="n">
        <f aca="false">D6*C6/10000000</f>
        <v>13.8073</v>
      </c>
      <c r="F6" s="20" t="n">
        <f aca="false">E6*Assumptions!$K$6</f>
        <v>2.485314</v>
      </c>
      <c r="G6" s="20" t="n">
        <f aca="false">(E6-F6)*Assumptions!$K$7</f>
        <v>0.90575888</v>
      </c>
      <c r="H6" s="20" t="n">
        <f aca="false">D6*IF(RIGHT(A6,2)="_T",Assumptions!$K$8,Assumptions!$K$9)/10000000</f>
        <v>0.552292</v>
      </c>
      <c r="I6" s="20" t="n">
        <f aca="false">(E6-SUM(F6:G6))*SUM(Assumptions!$K$10,Assumptions!$K$13)/365*Assumptions!$K$11</f>
        <v>0.155815342671781</v>
      </c>
      <c r="J6" s="39" t="n">
        <f aca="false">G6-SUM(H6:I6)</f>
        <v>0.197651537328219</v>
      </c>
      <c r="K6" s="20" t="n">
        <f aca="false">IFERROR(J6*10000000/Assumptions!$K$12,0)</f>
        <v>5067.988136621</v>
      </c>
      <c r="L6" s="39" t="n">
        <f aca="false">IFERROR(G6*10000000/D6,0)</f>
        <v>0.656</v>
      </c>
      <c r="M6" s="29" t="str">
        <f aca="false">IF(J6&gt;0,"PASS","LOSS")</f>
        <v>PASS</v>
      </c>
    </row>
    <row r="7" customFormat="false" ht="15" hidden="false" customHeight="false" outlineLevel="0" collapsed="false">
      <c r="A7" s="25" t="str">
        <f aca="false">Assumptions!A25</f>
        <v>SAB_L</v>
      </c>
      <c r="B7" s="25" t="str">
        <f aca="false">Assumptions!D25</f>
        <v>50g pouch</v>
      </c>
      <c r="C7" s="20" t="n">
        <f aca="false">Assumptions!E25*(1+Assumptions!$C$11)^2</f>
        <v>49</v>
      </c>
      <c r="D7" s="33" t="n">
        <f aca="false">SUMIFS(SKU_Channel_Model!$O$6:$O$113,SKU_Channel_Model!$A$6:$A$113,"FY24",SKU_Channel_Model!$B$6:$B$113,A7,SKU_Channel_Model!$D$6:$D$113,"GT")</f>
        <v>19266000</v>
      </c>
      <c r="E7" s="39" t="n">
        <f aca="false">D7*C7/10000000</f>
        <v>94.4034</v>
      </c>
      <c r="F7" s="20" t="n">
        <f aca="false">E7*Assumptions!$K$6</f>
        <v>16.992612</v>
      </c>
      <c r="G7" s="20" t="n">
        <f aca="false">(E7-F7)*Assumptions!$K$7</f>
        <v>6.19286304</v>
      </c>
      <c r="H7" s="20" t="n">
        <f aca="false">D7*IF(RIGHT(A7,2)="_T",Assumptions!$K$8,Assumptions!$K$9)/10000000</f>
        <v>4.23852</v>
      </c>
      <c r="I7" s="20" t="n">
        <f aca="false">(E7-SUM(F7:G7))*SUM(Assumptions!$K$10,Assumptions!$K$13)/365*Assumptions!$K$11</f>
        <v>1.06534211036055</v>
      </c>
      <c r="J7" s="39" t="n">
        <f aca="false">G7-SUM(H7:I7)</f>
        <v>0.889000929639451</v>
      </c>
      <c r="K7" s="20" t="n">
        <f aca="false">IFERROR(J7*10000000/Assumptions!$K$12,0)</f>
        <v>22794.8956317808</v>
      </c>
      <c r="L7" s="39" t="n">
        <f aca="false">IFERROR(G7*10000000/D7,0)</f>
        <v>3.2144</v>
      </c>
      <c r="M7" s="29" t="str">
        <f aca="false">IF(J7&gt;0,"PASS","LOSS")</f>
        <v>PASS</v>
      </c>
    </row>
    <row r="8" customFormat="false" ht="15" hidden="false" customHeight="false" outlineLevel="0" collapsed="false">
      <c r="A8" s="25" t="str">
        <f aca="false">Assumptions!A26</f>
        <v>GAR_T</v>
      </c>
      <c r="B8" s="25" t="str">
        <f aca="false">Assumptions!D26</f>
        <v>5g trial</v>
      </c>
      <c r="C8" s="20" t="n">
        <f aca="false">Assumptions!E26*(1+Assumptions!$C$11)^2</f>
        <v>10</v>
      </c>
      <c r="D8" s="33" t="n">
        <f aca="false">SUMIFS(SKU_Channel_Model!$O$6:$O$113,SKU_Channel_Model!$A$6:$A$113,"FY24",SKU_Channel_Model!$B$6:$B$113,A8,SKU_Channel_Model!$D$6:$D$113,"GT")</f>
        <v>10418460</v>
      </c>
      <c r="E8" s="39" t="n">
        <f aca="false">D8*C8/10000000</f>
        <v>10.41846</v>
      </c>
      <c r="F8" s="20" t="n">
        <f aca="false">E8*Assumptions!$K$6</f>
        <v>1.8753228</v>
      </c>
      <c r="G8" s="20" t="n">
        <f aca="false">(E8-F8)*Assumptions!$K$7</f>
        <v>0.683450976</v>
      </c>
      <c r="H8" s="20" t="n">
        <f aca="false">D8*IF(RIGHT(A8,2)="_T",Assumptions!$K$8,Assumptions!$K$9)/10000000</f>
        <v>0.4167384</v>
      </c>
      <c r="I8" s="20" t="n">
        <f aca="false">(E8-SUM(F8:G8))*SUM(Assumptions!$K$10,Assumptions!$K$13)/365*Assumptions!$K$11</f>
        <v>0.117572292556274</v>
      </c>
      <c r="J8" s="39" t="n">
        <f aca="false">G8-SUM(H8:I8)</f>
        <v>0.149140283443726</v>
      </c>
      <c r="K8" s="20" t="n">
        <f aca="false">IFERROR(J8*10000000/Assumptions!$K$12,0)</f>
        <v>3824.10983189041</v>
      </c>
      <c r="L8" s="39" t="n">
        <f aca="false">IFERROR(G8*10000000/D8,0)</f>
        <v>0.656</v>
      </c>
      <c r="M8" s="29" t="str">
        <f aca="false">IF(J8&gt;0,"PASS","LOSS")</f>
        <v>PASS</v>
      </c>
    </row>
    <row r="9" customFormat="false" ht="15" hidden="false" customHeight="false" outlineLevel="0" collapsed="false">
      <c r="A9" s="25" t="str">
        <f aca="false">Assumptions!A27</f>
        <v>GAR_L</v>
      </c>
      <c r="B9" s="25" t="str">
        <f aca="false">Assumptions!D27</f>
        <v>50g pouch</v>
      </c>
      <c r="C9" s="20" t="n">
        <f aca="false">Assumptions!E27*(1+Assumptions!$C$11)^2</f>
        <v>49</v>
      </c>
      <c r="D9" s="33" t="n">
        <f aca="false">SUMIFS(SKU_Channel_Model!$O$6:$O$113,SKU_Channel_Model!$A$6:$A$113,"FY24",SKU_Channel_Model!$B$6:$B$113,A9,SKU_Channel_Model!$D$6:$D$113,"GT")</f>
        <v>15215200</v>
      </c>
      <c r="E9" s="39" t="n">
        <f aca="false">D9*C9/10000000</f>
        <v>74.55448</v>
      </c>
      <c r="F9" s="20" t="n">
        <f aca="false">E9*Assumptions!$K$6</f>
        <v>13.4198064</v>
      </c>
      <c r="G9" s="20" t="n">
        <f aca="false">(E9-F9)*Assumptions!$K$7</f>
        <v>4.890773888</v>
      </c>
      <c r="H9" s="20" t="n">
        <f aca="false">D9*IF(RIGHT(A9,2)="_T",Assumptions!$K$8,Assumptions!$K$9)/10000000</f>
        <v>3.347344</v>
      </c>
      <c r="I9" s="20" t="n">
        <f aca="false">(E9-SUM(F9:G9))*SUM(Assumptions!$K$10,Assumptions!$K$13)/365*Assumptions!$K$11</f>
        <v>0.841347102541151</v>
      </c>
      <c r="J9" s="39" t="n">
        <f aca="false">G9-SUM(H9:I9)</f>
        <v>0.702082785458849</v>
      </c>
      <c r="K9" s="20" t="n">
        <f aca="false">IFERROR(J9*10000000/Assumptions!$K$12,0)</f>
        <v>18002.1227040731</v>
      </c>
      <c r="L9" s="39" t="n">
        <f aca="false">IFERROR(G9*10000000/D9,0)</f>
        <v>3.2144</v>
      </c>
      <c r="M9" s="29" t="str">
        <f aca="false">IF(J9&gt;0,"PASS","LOSS")</f>
        <v>PASS</v>
      </c>
    </row>
    <row r="10" customFormat="false" ht="15" hidden="false" customHeight="false" outlineLevel="0" collapsed="false">
      <c r="A10" s="25" t="str">
        <f aca="false">Assumptions!A28</f>
        <v>GIN_T</v>
      </c>
      <c r="B10" s="25" t="str">
        <f aca="false">Assumptions!D28</f>
        <v>15g single sachet</v>
      </c>
      <c r="C10" s="20" t="n">
        <f aca="false">Assumptions!E28*(1+Assumptions!$C$11)^2</f>
        <v>10</v>
      </c>
      <c r="D10" s="33" t="n">
        <f aca="false">SUMIFS(SKU_Channel_Model!$O$6:$O$113,SKU_Channel_Model!$A$6:$A$113,"FY24",SKU_Channel_Model!$B$6:$B$113,A10,SKU_Channel_Model!$D$6:$D$113,"GT")</f>
        <v>6678880</v>
      </c>
      <c r="E10" s="39" t="n">
        <f aca="false">D10*C10/10000000</f>
        <v>6.67888</v>
      </c>
      <c r="F10" s="20" t="n">
        <f aca="false">E10*Assumptions!$K$6</f>
        <v>1.2021984</v>
      </c>
      <c r="G10" s="20" t="n">
        <f aca="false">(E10-F10)*Assumptions!$K$7</f>
        <v>0.438134528</v>
      </c>
      <c r="H10" s="20" t="n">
        <f aca="false">D10*IF(RIGHT(A10,2)="_T",Assumptions!$K$8,Assumptions!$K$9)/10000000</f>
        <v>0.2671552</v>
      </c>
      <c r="I10" s="20" t="n">
        <f aca="false">(E10-SUM(F10:G10))*SUM(Assumptions!$K$10,Assumptions!$K$13)/365*Assumptions!$K$11</f>
        <v>0.0753711425016986</v>
      </c>
      <c r="J10" s="39" t="n">
        <f aca="false">G10-SUM(H10:I10)</f>
        <v>0.0956081854983014</v>
      </c>
      <c r="K10" s="20" t="n">
        <f aca="false">IFERROR(J10*10000000/Assumptions!$K$12,0)</f>
        <v>2451.49193585388</v>
      </c>
      <c r="L10" s="39" t="n">
        <f aca="false">IFERROR(G10*10000000/D10,0)</f>
        <v>0.656</v>
      </c>
      <c r="M10" s="29" t="str">
        <f aca="false">IF(J10&gt;0,"PASS","LOSS")</f>
        <v>PASS</v>
      </c>
    </row>
    <row r="11" customFormat="false" ht="15" hidden="false" customHeight="false" outlineLevel="0" collapsed="false">
      <c r="A11" s="25" t="str">
        <f aca="false">Assumptions!A29</f>
        <v>GIN_L</v>
      </c>
      <c r="B11" s="25" t="str">
        <f aca="false">Assumptions!D29</f>
        <v>10-sachet pack</v>
      </c>
      <c r="C11" s="20" t="n">
        <f aca="false">Assumptions!E29*(1+Assumptions!$C$11)^2</f>
        <v>99</v>
      </c>
      <c r="D11" s="33" t="n">
        <f aca="false">SUMIFS(SKU_Channel_Model!$O$6:$O$113,SKU_Channel_Model!$A$6:$A$113,"FY24",SKU_Channel_Model!$B$6:$B$113,A11,SKU_Channel_Model!$D$6:$D$113,"GT")</f>
        <v>4045860</v>
      </c>
      <c r="E11" s="39" t="n">
        <f aca="false">D11*C11/10000000</f>
        <v>40.054014</v>
      </c>
      <c r="F11" s="20" t="n">
        <f aca="false">E11*Assumptions!$K$6</f>
        <v>7.20972252</v>
      </c>
      <c r="G11" s="20" t="n">
        <f aca="false">(E11-F11)*Assumptions!$K$7</f>
        <v>2.6275433184</v>
      </c>
      <c r="H11" s="20" t="n">
        <f aca="false">D11*IF(RIGHT(A11,2)="_T",Assumptions!$K$8,Assumptions!$K$9)/10000000</f>
        <v>0.8900892</v>
      </c>
      <c r="I11" s="20" t="n">
        <f aca="false">(E11-SUM(F11:G11))*SUM(Assumptions!$K$10,Assumptions!$K$13)/365*Assumptions!$K$11</f>
        <v>0.452009438252975</v>
      </c>
      <c r="J11" s="39" t="n">
        <f aca="false">G11-SUM(H11:I11)</f>
        <v>1.28544468014703</v>
      </c>
      <c r="K11" s="20" t="n">
        <f aca="false">IFERROR(J11*10000000/Assumptions!$K$12,0)</f>
        <v>32960.1200037699</v>
      </c>
      <c r="L11" s="39" t="n">
        <f aca="false">IFERROR(G11*10000000/D11,0)</f>
        <v>6.4944</v>
      </c>
      <c r="M11" s="29" t="str">
        <f aca="false">IF(J11&gt;0,"PASS","LOSS")</f>
        <v>PASS</v>
      </c>
    </row>
    <row r="12" customFormat="false" ht="15" hidden="false" customHeight="false" outlineLevel="0" collapsed="false">
      <c r="A12" s="25" t="str">
        <f aca="false">Assumptions!A30</f>
        <v>BAD_T</v>
      </c>
      <c r="B12" s="25" t="str">
        <f aca="false">Assumptions!D30</f>
        <v>15g single sachet</v>
      </c>
      <c r="C12" s="20" t="n">
        <f aca="false">Assumptions!E30*(1+Assumptions!$C$11)^2</f>
        <v>10</v>
      </c>
      <c r="D12" s="33" t="n">
        <f aca="false">SUMIFS(SKU_Channel_Model!$O$6:$O$113,SKU_Channel_Model!$A$6:$A$113,"FY24",SKU_Channel_Model!$B$6:$B$113,A12,SKU_Channel_Model!$D$6:$D$113,"GT")</f>
        <v>3734640</v>
      </c>
      <c r="E12" s="39" t="n">
        <f aca="false">D12*C12/10000000</f>
        <v>3.73464</v>
      </c>
      <c r="F12" s="20" t="n">
        <f aca="false">E12*Assumptions!$K$6</f>
        <v>0.6722352</v>
      </c>
      <c r="G12" s="20" t="n">
        <f aca="false">(E12-F12)*Assumptions!$K$7</f>
        <v>0.244992384</v>
      </c>
      <c r="H12" s="20" t="n">
        <f aca="false">D12*IF(RIGHT(A12,2)="_T",Assumptions!$K$8,Assumptions!$K$9)/10000000</f>
        <v>0.1493856</v>
      </c>
      <c r="I12" s="20" t="n">
        <f aca="false">(E12-SUM(F12:G12))*SUM(Assumptions!$K$10,Assumptions!$K$13)/365*Assumptions!$K$11</f>
        <v>0.0421454021681096</v>
      </c>
      <c r="J12" s="39" t="n">
        <f aca="false">G12-SUM(H12:I12)</f>
        <v>0.0534613818318905</v>
      </c>
      <c r="K12" s="20" t="n">
        <f aca="false">IFERROR(J12*10000000/Assumptions!$K$12,0)</f>
        <v>1370.80466235617</v>
      </c>
      <c r="L12" s="39" t="n">
        <f aca="false">IFERROR(G12*10000000/D12,0)</f>
        <v>0.656</v>
      </c>
      <c r="M12" s="29" t="str">
        <f aca="false">IF(J12&gt;0,"PASS","LOSS")</f>
        <v>PASS</v>
      </c>
    </row>
    <row r="13" customFormat="false" ht="15" hidden="false" customHeight="false" outlineLevel="0" collapsed="false">
      <c r="A13" s="25" t="str">
        <f aca="false">Assumptions!A31</f>
        <v>BAD_L</v>
      </c>
      <c r="B13" s="25" t="str">
        <f aca="false">Assumptions!D31</f>
        <v>150g pouch</v>
      </c>
      <c r="C13" s="20" t="n">
        <f aca="false">Assumptions!E31*(1+Assumptions!$C$11)^2</f>
        <v>99</v>
      </c>
      <c r="D13" s="33" t="n">
        <f aca="false">SUMIFS(SKU_Channel_Model!$O$6:$O$113,SKU_Channel_Model!$A$6:$A$113,"FY24",SKU_Channel_Model!$B$6:$B$113,A13,SKU_Channel_Model!$D$6:$D$113,"GT")</f>
        <v>2771340</v>
      </c>
      <c r="E13" s="39" t="n">
        <f aca="false">D13*C13/10000000</f>
        <v>27.436266</v>
      </c>
      <c r="F13" s="20" t="n">
        <f aca="false">E13*Assumptions!$K$6</f>
        <v>4.93852788</v>
      </c>
      <c r="G13" s="20" t="n">
        <f aca="false">(E13-F13)*Assumptions!$K$7</f>
        <v>1.7998190496</v>
      </c>
      <c r="H13" s="20" t="n">
        <f aca="false">D13*IF(RIGHT(A13,2)="_T",Assumptions!$K$8,Assumptions!$K$9)/10000000</f>
        <v>0.6096948</v>
      </c>
      <c r="I13" s="20" t="n">
        <f aca="false">(E13-SUM(F13:G13))*SUM(Assumptions!$K$10,Assumptions!$K$13)/365*Assumptions!$K$11</f>
        <v>0.309618186642148</v>
      </c>
      <c r="J13" s="39" t="n">
        <f aca="false">G13-SUM(H13:I13)</f>
        <v>0.880506062957852</v>
      </c>
      <c r="K13" s="20" t="n">
        <f aca="false">IFERROR(J13*10000000/Assumptions!$K$12,0)</f>
        <v>22577.0785373808</v>
      </c>
      <c r="L13" s="39" t="n">
        <f aca="false">IFERROR(G13*10000000/D13,0)</f>
        <v>6.4944</v>
      </c>
      <c r="M13" s="29" t="str">
        <f aca="false">IF(J13&gt;0,"PASS","LOSS")</f>
        <v>PASS</v>
      </c>
    </row>
    <row r="14" customFormat="false" ht="15" hidden="false" customHeight="false" outlineLevel="0" collapsed="false">
      <c r="A14" s="25" t="str">
        <f aca="false">Assumptions!A32</f>
        <v>CHU_T</v>
      </c>
      <c r="B14" s="25" t="str">
        <f aca="false">Assumptions!D32</f>
        <v>20g sachet</v>
      </c>
      <c r="C14" s="20" t="n">
        <f aca="false">Assumptions!E32*(1+Assumptions!$C$11)^2</f>
        <v>10</v>
      </c>
      <c r="D14" s="33" t="n">
        <f aca="false">SUMIFS(SKU_Channel_Model!$O$6:$O$113,SKU_Channel_Model!$A$6:$A$113,"FY24",SKU_Channel_Model!$B$6:$B$113,A14,SKU_Channel_Model!$D$6:$D$113,"GT")</f>
        <v>6160180</v>
      </c>
      <c r="E14" s="39" t="n">
        <f aca="false">D14*C14/10000000</f>
        <v>6.16018</v>
      </c>
      <c r="F14" s="20" t="n">
        <f aca="false">E14*Assumptions!$K$6</f>
        <v>1.1088324</v>
      </c>
      <c r="G14" s="20" t="n">
        <f aca="false">(E14-F14)*Assumptions!$K$7</f>
        <v>0.404107808</v>
      </c>
      <c r="H14" s="20" t="n">
        <f aca="false">D14*IF(RIGHT(A14,2)="_T",Assumptions!$K$8,Assumptions!$K$9)/10000000</f>
        <v>0.2464072</v>
      </c>
      <c r="I14" s="20" t="n">
        <f aca="false">(E14-SUM(F14:G14))*SUM(Assumptions!$K$10,Assumptions!$K$13)/365*Assumptions!$K$11</f>
        <v>0.0695176144227945</v>
      </c>
      <c r="J14" s="39" t="n">
        <f aca="false">G14-SUM(H14:I14)</f>
        <v>0.0881829935772056</v>
      </c>
      <c r="K14" s="20" t="n">
        <f aca="false">IFERROR(J14*10000000/Assumptions!$K$12,0)</f>
        <v>2261.10239941553</v>
      </c>
      <c r="L14" s="39" t="n">
        <f aca="false">IFERROR(G14*10000000/D14,0)</f>
        <v>0.656</v>
      </c>
      <c r="M14" s="29" t="str">
        <f aca="false">IF(J14&gt;0,"PASS","LOSS")</f>
        <v>PASS</v>
      </c>
    </row>
    <row r="15" customFormat="false" ht="15" hidden="false" customHeight="false" outlineLevel="0" collapsed="false">
      <c r="A15" s="25" t="str">
        <f aca="false">Assumptions!A33</f>
        <v>CHU_L</v>
      </c>
      <c r="B15" s="25" t="str">
        <f aca="false">Assumptions!D33</f>
        <v>200g pack</v>
      </c>
      <c r="C15" s="20" t="n">
        <f aca="false">Assumptions!E33*(1+Assumptions!$C$11)^2</f>
        <v>99</v>
      </c>
      <c r="D15" s="33" t="n">
        <f aca="false">SUMIFS(SKU_Channel_Model!$O$6:$O$113,SKU_Channel_Model!$A$6:$A$113,"FY24",SKU_Channel_Model!$B$6:$B$113,A15,SKU_Channel_Model!$D$6:$D$113,"GT")</f>
        <v>3586440</v>
      </c>
      <c r="E15" s="39" t="n">
        <f aca="false">D15*C15/10000000</f>
        <v>35.505756</v>
      </c>
      <c r="F15" s="20" t="n">
        <f aca="false">E15*Assumptions!$K$6</f>
        <v>6.39103608</v>
      </c>
      <c r="G15" s="20" t="n">
        <f aca="false">(E15-F15)*Assumptions!$K$7</f>
        <v>2.3291775936</v>
      </c>
      <c r="H15" s="20" t="n">
        <f aca="false">D15*IF(RIGHT(A15,2)="_T",Assumptions!$K$8,Assumptions!$K$9)/10000000</f>
        <v>0.7890168</v>
      </c>
      <c r="I15" s="20" t="n">
        <f aca="false">(E15-SUM(F15:G15))*SUM(Assumptions!$K$10,Assumptions!$K$13)/365*Assumptions!$K$11</f>
        <v>0.400682359183956</v>
      </c>
      <c r="J15" s="39" t="n">
        <f aca="false">G15-SUM(H15:I15)</f>
        <v>1.13947843441604</v>
      </c>
      <c r="K15" s="20" t="n">
        <f aca="false">IFERROR(J15*10000000/Assumptions!$K$12,0)</f>
        <v>29217.3957542575</v>
      </c>
      <c r="L15" s="39" t="n">
        <f aca="false">IFERROR(G15*10000000/D15,0)</f>
        <v>6.4944</v>
      </c>
      <c r="M15" s="29" t="str">
        <f aca="false">IF(J15&gt;0,"PASS","LOSS")</f>
        <v>PASS</v>
      </c>
    </row>
    <row r="16" customFormat="false" ht="15" hidden="false" customHeight="false" outlineLevel="0" collapsed="false">
      <c r="A16" s="25" t="str">
        <f aca="false">Assumptions!A34</f>
        <v>PIC_T</v>
      </c>
      <c r="B16" s="25" t="str">
        <f aca="false">Assumptions!D34</f>
        <v>20g sachet</v>
      </c>
      <c r="C16" s="20" t="n">
        <f aca="false">Assumptions!E34*(1+Assumptions!$C$11)^2</f>
        <v>10</v>
      </c>
      <c r="D16" s="33" t="n">
        <f aca="false">SUMIFS(SKU_Channel_Model!$O$6:$O$113,SKU_Channel_Model!$A$6:$A$113,"FY24",SKU_Channel_Model!$B$6:$B$113,A16,SKU_Channel_Model!$D$6:$D$113,"GT")</f>
        <v>5601960</v>
      </c>
      <c r="E16" s="39" t="n">
        <f aca="false">D16*C16/10000000</f>
        <v>5.60196</v>
      </c>
      <c r="F16" s="20" t="n">
        <f aca="false">E16*Assumptions!$K$6</f>
        <v>1.0083528</v>
      </c>
      <c r="G16" s="20" t="n">
        <f aca="false">(E16-F16)*Assumptions!$K$7</f>
        <v>0.367488576</v>
      </c>
      <c r="H16" s="20" t="n">
        <f aca="false">D16*IF(RIGHT(A16,2)="_T",Assumptions!$K$8,Assumptions!$K$9)/10000000</f>
        <v>0.2240784</v>
      </c>
      <c r="I16" s="20" t="n">
        <f aca="false">(E16-SUM(F16:G16))*SUM(Assumptions!$K$10,Assumptions!$K$13)/365*Assumptions!$K$11</f>
        <v>0.0632181032521644</v>
      </c>
      <c r="J16" s="39" t="n">
        <f aca="false">G16-SUM(H16:I16)</f>
        <v>0.0801920727478356</v>
      </c>
      <c r="K16" s="20" t="n">
        <f aca="false">IFERROR(J16*10000000/Assumptions!$K$12,0)</f>
        <v>2056.20699353425</v>
      </c>
      <c r="L16" s="39" t="n">
        <f aca="false">IFERROR(G16*10000000/D16,0)</f>
        <v>0.656</v>
      </c>
      <c r="M16" s="29" t="str">
        <f aca="false">IF(J16&gt;0,"PASS","LOSS")</f>
        <v>PASS</v>
      </c>
    </row>
    <row r="17" customFormat="false" ht="15" hidden="false" customHeight="false" outlineLevel="0" collapsed="false">
      <c r="A17" s="25" t="str">
        <f aca="false">Assumptions!A35</f>
        <v>PIC_L</v>
      </c>
      <c r="B17" s="25" t="str">
        <f aca="false">Assumptions!D35</f>
        <v>200g pack</v>
      </c>
      <c r="C17" s="20" t="n">
        <f aca="false">Assumptions!E35*(1+Assumptions!$C$11)^2</f>
        <v>99</v>
      </c>
      <c r="D17" s="33" t="n">
        <f aca="false">SUMIFS(SKU_Channel_Model!$O$6:$O$113,SKU_Channel_Model!$A$6:$A$113,"FY24",SKU_Channel_Model!$B$6:$B$113,A17,SKU_Channel_Model!$D$6:$D$113,"GT")</f>
        <v>4021160</v>
      </c>
      <c r="E17" s="39" t="n">
        <f aca="false">D17*C17/10000000</f>
        <v>39.809484</v>
      </c>
      <c r="F17" s="20" t="n">
        <f aca="false">E17*Assumptions!$K$6</f>
        <v>7.16570712</v>
      </c>
      <c r="G17" s="20" t="n">
        <f aca="false">(E17-F17)*Assumptions!$K$7</f>
        <v>2.6115021504</v>
      </c>
      <c r="H17" s="20" t="n">
        <f aca="false">D17*IF(RIGHT(A17,2)="_T",Assumptions!$K$8,Assumptions!$K$9)/10000000</f>
        <v>0.8846552</v>
      </c>
      <c r="I17" s="20" t="n">
        <f aca="false">(E17-SUM(F17:G17))*SUM(Assumptions!$K$10,Assumptions!$K$13)/365*Assumptions!$K$11</f>
        <v>0.449249917872921</v>
      </c>
      <c r="J17" s="39" t="n">
        <f aca="false">G17-SUM(H17:I17)</f>
        <v>1.27759703252708</v>
      </c>
      <c r="K17" s="20" t="n">
        <f aca="false">IFERROR(J17*10000000/Assumptions!$K$12,0)</f>
        <v>32758.8982699251</v>
      </c>
      <c r="L17" s="39" t="n">
        <f aca="false">IFERROR(G17*10000000/D17,0)</f>
        <v>6.4944</v>
      </c>
      <c r="M17" s="29" t="str">
        <f aca="false">IF(J17&gt;0,"PASS","LOSS")</f>
        <v>PASS</v>
      </c>
    </row>
    <row r="18" customFormat="false" ht="15" hidden="false" customHeight="false" outlineLevel="0" collapsed="false">
      <c r="C18" s="37"/>
      <c r="D18" s="36"/>
      <c r="E18" s="37"/>
      <c r="F18" s="37"/>
      <c r="G18" s="37"/>
      <c r="H18" s="37"/>
      <c r="I18" s="37"/>
      <c r="J18" s="37"/>
      <c r="K18" s="37"/>
      <c r="L18" s="37"/>
    </row>
    <row r="19" customFormat="false" ht="15" hidden="false" customHeight="false" outlineLevel="0" collapsed="false">
      <c r="A19" s="30" t="s">
        <v>437</v>
      </c>
      <c r="B19" s="30"/>
      <c r="C19" s="41"/>
      <c r="D19" s="42" t="n">
        <f aca="false">SUM(D6:D17)</f>
        <v>95307420</v>
      </c>
      <c r="E19" s="41" t="n">
        <f aca="false">SUM(E6:E17)</f>
        <v>358.16482</v>
      </c>
      <c r="F19" s="41" t="n">
        <f aca="false">SUM(F6:F17)</f>
        <v>64.4696676</v>
      </c>
      <c r="G19" s="41" t="n">
        <f aca="false">SUM(G6:G17)</f>
        <v>23.495612192</v>
      </c>
      <c r="H19" s="41" t="n">
        <f aca="false">SUM(H6:H17)</f>
        <v>12.6153768</v>
      </c>
      <c r="I19" s="41" t="n">
        <f aca="false">SUM(I6:I17)</f>
        <v>4.04188901242652</v>
      </c>
      <c r="J19" s="41" t="n">
        <f aca="false">SUM(J6:J17)</f>
        <v>6.83834637957348</v>
      </c>
      <c r="K19" s="41" t="n">
        <f aca="false">IFERROR(J19*10000000/Assumptions!K12,0)</f>
        <v>175342.214860858</v>
      </c>
      <c r="L19" s="41"/>
      <c r="M19" s="30"/>
    </row>
    <row r="22" customFormat="false" ht="15" hidden="false" customHeight="false" outlineLevel="0" collapsed="false">
      <c r="A22" s="0" t="s">
        <v>438</v>
      </c>
    </row>
    <row r="23" customFormat="false" ht="15" hidden="false" customHeight="false" outlineLevel="0" collapsed="false">
      <c r="A23" s="0" t="s">
        <v>439</v>
      </c>
    </row>
  </sheetData>
  <mergeCells count="2">
    <mergeCell ref="A1:N1"/>
    <mergeCell ref="A3:N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2026-10-17T06:51:13Z</dcterms:created>
  <dc:creator>openpyxl</dc:creator>
  <dc:description/>
  <dc:language>en-US</dc:language>
  <cp:lastModifiedBy/>
  <dcterms:modified xsi:type="dcterms:W3CDTF">2026-10-17T06:51:13Z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